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1" sheetId="1" r:id="rId5"/>
    <sheet state="visible" name="PRACTICA 2" sheetId="2" r:id="rId6"/>
  </sheets>
  <definedNames/>
  <calcPr/>
</workbook>
</file>

<file path=xl/sharedStrings.xml><?xml version="1.0" encoding="utf-8"?>
<sst xmlns="http://schemas.openxmlformats.org/spreadsheetml/2006/main" count="96" uniqueCount="81">
  <si>
    <t>MEDIDAS DIRECTAS</t>
  </si>
  <si>
    <t>MEDIDAS TABULADAS</t>
  </si>
  <si>
    <t>MEDIDAS INDIRECTAS</t>
  </si>
  <si>
    <t>T Cuerpo</t>
  </si>
  <si>
    <t>Conductividad Térmica Zapatos</t>
  </si>
  <si>
    <t>Flujo Calor Pies</t>
  </si>
  <si>
    <t>Brazo derecho</t>
  </si>
  <si>
    <t>Cuello</t>
  </si>
  <si>
    <t>Frente</t>
  </si>
  <si>
    <t>T Suelo</t>
  </si>
  <si>
    <t>Área Pie</t>
  </si>
  <si>
    <t>Espesor Suela</t>
  </si>
  <si>
    <t>T Ropa</t>
  </si>
  <si>
    <t>Conductividad Térmica Ropa (algodón)</t>
  </si>
  <si>
    <t>Flujo Calor Cuerpo</t>
  </si>
  <si>
    <t>Radio Interior</t>
  </si>
  <si>
    <t>Radio Exterior</t>
  </si>
  <si>
    <t>Espesor Ropa</t>
  </si>
  <si>
    <t>Suelo</t>
  </si>
  <si>
    <t>Altura (Sin Cabeza)</t>
  </si>
  <si>
    <t>T Ambiente</t>
  </si>
  <si>
    <t>Anchura omega</t>
  </si>
  <si>
    <t>x Transicion</t>
  </si>
  <si>
    <t>Altura (Con Cabeza)</t>
  </si>
  <si>
    <t>h laminar</t>
  </si>
  <si>
    <t>Peso</t>
  </si>
  <si>
    <t>h turbulento</t>
  </si>
  <si>
    <t>Superficie Cuerpo</t>
  </si>
  <si>
    <t>Camiseta</t>
  </si>
  <si>
    <t>Pantalón</t>
  </si>
  <si>
    <t>Flujo Conveccion</t>
  </si>
  <si>
    <t>Diámetro Cabeza</t>
  </si>
  <si>
    <t>h Cabeza</t>
  </si>
  <si>
    <t>Flujo Cabeza Conveccion</t>
  </si>
  <si>
    <t>Flujo Radiacion</t>
  </si>
  <si>
    <t>Flujo Perdido Neto</t>
  </si>
  <si>
    <t>Flujo Perdido Neto (Kcal/Día)</t>
  </si>
  <si>
    <t>Resoluciones</t>
  </si>
  <si>
    <t>Termómetro</t>
  </si>
  <si>
    <t>0,1 K</t>
  </si>
  <si>
    <t>Humedad Relativa</t>
  </si>
  <si>
    <t>Índice Metabólico (Reposo)</t>
  </si>
  <si>
    <t>Intercambio por Evap.</t>
  </si>
  <si>
    <t>Regla</t>
  </si>
  <si>
    <t>0,1 cm</t>
  </si>
  <si>
    <t>Índice Metabólico (Gimnasia)</t>
  </si>
  <si>
    <t>Inter. Convec. Respir.</t>
  </si>
  <si>
    <t>Presión Parcial de vapor de agua</t>
  </si>
  <si>
    <t>Inter. Evap. Respir</t>
  </si>
  <si>
    <t>Regla Correcta</t>
  </si>
  <si>
    <t>Váscula</t>
  </si>
  <si>
    <t>0,1 kg</t>
  </si>
  <si>
    <t>Con actividad física:</t>
  </si>
  <si>
    <t>T_Int</t>
  </si>
  <si>
    <t>T_ext</t>
  </si>
  <si>
    <t>Longitud</t>
  </si>
  <si>
    <t>Altitud</t>
  </si>
  <si>
    <t>Área</t>
  </si>
  <si>
    <t>Espesor</t>
  </si>
  <si>
    <t>R_T</t>
  </si>
  <si>
    <t>J_q</t>
  </si>
  <si>
    <t>h_int</t>
  </si>
  <si>
    <t>h_ext</t>
  </si>
  <si>
    <t>K</t>
  </si>
  <si>
    <t>Pared Balcón</t>
  </si>
  <si>
    <t>Lambda Paredes</t>
  </si>
  <si>
    <t>Pared Rellano</t>
  </si>
  <si>
    <t>Lambda Cristal</t>
  </si>
  <si>
    <t>Pared Interior</t>
  </si>
  <si>
    <t>Lambda Suelo</t>
  </si>
  <si>
    <t>Pared Casa Ajena</t>
  </si>
  <si>
    <t>Lambda Techo</t>
  </si>
  <si>
    <t>Lambda Puerta</t>
  </si>
  <si>
    <t>Techo</t>
  </si>
  <si>
    <t>Lambda Aislamiento Techo</t>
  </si>
  <si>
    <t>Ventana Balcón</t>
  </si>
  <si>
    <t>Puerta Interior</t>
  </si>
  <si>
    <t>Temperatura Vivienda</t>
  </si>
  <si>
    <t>Temperatura Ambiente</t>
  </si>
  <si>
    <t>HORA MEDIDAS</t>
  </si>
  <si>
    <t>K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</si>
</sst>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4" max="4" width="29.63"/>
    <col customWidth="1" min="7" max="7" width="23.75"/>
  </cols>
  <sheetData>
    <row r="1">
      <c r="A1" s="1" t="s">
        <v>0</v>
      </c>
      <c r="D1" s="1" t="s">
        <v>1</v>
      </c>
      <c r="G1" s="1" t="s">
        <v>2</v>
      </c>
    </row>
    <row r="2">
      <c r="A2" s="1" t="s">
        <v>3</v>
      </c>
      <c r="B2" s="2">
        <f>AVERAGE(J6:L6)+273.15</f>
        <v>304.3722222</v>
      </c>
      <c r="D2" s="1" t="s">
        <v>4</v>
      </c>
      <c r="E2" s="3">
        <v>0.29</v>
      </c>
      <c r="G2" s="1" t="s">
        <v>5</v>
      </c>
      <c r="H2" s="2">
        <f>(B2-B3)*E2*B4/B5</f>
        <v>2.017648148</v>
      </c>
      <c r="J2" s="1" t="s">
        <v>6</v>
      </c>
      <c r="K2" s="1" t="s">
        <v>7</v>
      </c>
      <c r="L2" s="1" t="s">
        <v>8</v>
      </c>
    </row>
    <row r="3">
      <c r="A3" s="1" t="s">
        <v>9</v>
      </c>
      <c r="B3" s="2">
        <f>AVERAGE(J10:J12)+273.15</f>
        <v>294.55</v>
      </c>
      <c r="J3" s="1">
        <v>29.7</v>
      </c>
      <c r="K3" s="1">
        <v>30.9</v>
      </c>
      <c r="L3" s="1">
        <v>32.7</v>
      </c>
    </row>
    <row r="4">
      <c r="A4" s="1" t="s">
        <v>10</v>
      </c>
      <c r="B4" s="4">
        <f>0.2*0.085</f>
        <v>0.017</v>
      </c>
      <c r="J4" s="1">
        <v>30.0</v>
      </c>
      <c r="K4" s="1">
        <v>30.8</v>
      </c>
      <c r="L4" s="1">
        <v>33.0</v>
      </c>
    </row>
    <row r="5">
      <c r="A5" s="1" t="s">
        <v>11</v>
      </c>
      <c r="B5" s="1">
        <v>0.024</v>
      </c>
      <c r="J5" s="1">
        <v>30.1</v>
      </c>
      <c r="K5" s="1">
        <v>31.0</v>
      </c>
      <c r="L5" s="1">
        <v>32.8</v>
      </c>
    </row>
    <row r="6">
      <c r="J6" s="2">
        <f t="shared" ref="J6:L6" si="1">AVERAGE(J3:J5)</f>
        <v>29.93333333</v>
      </c>
      <c r="K6" s="2">
        <f t="shared" si="1"/>
        <v>30.9</v>
      </c>
      <c r="L6" s="2">
        <f t="shared" si="1"/>
        <v>32.83333333</v>
      </c>
    </row>
    <row r="7">
      <c r="A7" s="1" t="s">
        <v>12</v>
      </c>
      <c r="B7" s="2">
        <f>AVERAGE(J19:K19)+273.15</f>
        <v>298.05</v>
      </c>
      <c r="D7" s="1" t="s">
        <v>13</v>
      </c>
      <c r="E7" s="3">
        <v>0.05</v>
      </c>
      <c r="G7" s="1" t="s">
        <v>14</v>
      </c>
      <c r="H7" s="1">
        <f>PI()*((B2-B7)*E7*2*B10)/LN((H8)/B8)</f>
        <v>171.7297332</v>
      </c>
    </row>
    <row r="8">
      <c r="A8" s="1" t="s">
        <v>15</v>
      </c>
      <c r="B8" s="3">
        <v>0.2</v>
      </c>
      <c r="G8" s="1" t="s">
        <v>16</v>
      </c>
      <c r="H8" s="2">
        <f>B9+B8</f>
        <v>0.2035</v>
      </c>
    </row>
    <row r="9">
      <c r="A9" s="1" t="s">
        <v>17</v>
      </c>
      <c r="B9" s="1">
        <f>(0.002+0.005)/2</f>
        <v>0.0035</v>
      </c>
      <c r="J9" s="1" t="s">
        <v>18</v>
      </c>
    </row>
    <row r="10">
      <c r="A10" s="1" t="s">
        <v>19</v>
      </c>
      <c r="B10" s="5">
        <v>1.5</v>
      </c>
      <c r="J10" s="1">
        <v>21.3</v>
      </c>
    </row>
    <row r="11">
      <c r="J11" s="1">
        <v>21.4</v>
      </c>
    </row>
    <row r="12">
      <c r="A12" s="1" t="s">
        <v>20</v>
      </c>
      <c r="B12" s="1">
        <f>23.1+273.15</f>
        <v>296.25</v>
      </c>
      <c r="D12" s="1" t="s">
        <v>21</v>
      </c>
      <c r="E12" s="2">
        <f>2*PI()*B8</f>
        <v>1.256637061</v>
      </c>
      <c r="G12" s="1" t="s">
        <v>22</v>
      </c>
      <c r="H12" s="2">
        <f>(10^9*(14*10^(-6))^2/(9.8*(B7-B12)*2/(B7+B12)))^(1/3)</f>
        <v>1.489056151</v>
      </c>
      <c r="J12" s="1">
        <v>21.5</v>
      </c>
    </row>
    <row r="13">
      <c r="A13" s="1" t="s">
        <v>23</v>
      </c>
      <c r="B13" s="5">
        <v>1.725</v>
      </c>
      <c r="G13" s="1" t="s">
        <v>24</v>
      </c>
      <c r="H13" s="2">
        <f>1.07*((B7-B12)/H12)^(1/4)</f>
        <v>1.121951633</v>
      </c>
    </row>
    <row r="14">
      <c r="A14" s="1" t="s">
        <v>25</v>
      </c>
      <c r="B14" s="5">
        <v>77.0</v>
      </c>
      <c r="G14" s="1" t="s">
        <v>26</v>
      </c>
      <c r="H14" s="2">
        <f>1.13*(B7-B12)^(1/3)</f>
        <v>1.374577651</v>
      </c>
    </row>
    <row r="15">
      <c r="G15" s="1" t="s">
        <v>27</v>
      </c>
      <c r="H15" s="1">
        <f>0.202*B14^0.425*B13^0.725</f>
        <v>1.900124356</v>
      </c>
      <c r="J15" s="1" t="s">
        <v>28</v>
      </c>
      <c r="K15" s="1" t="s">
        <v>29</v>
      </c>
    </row>
    <row r="16">
      <c r="G16" s="1" t="s">
        <v>30</v>
      </c>
      <c r="H16" s="2">
        <f>H13*(B7-B12)*E12*H12+H14*(B7-B12)*E12*(B13-H12)</f>
        <v>4.51252063</v>
      </c>
      <c r="J16" s="1">
        <v>24.0</v>
      </c>
      <c r="K16" s="1">
        <v>25.3</v>
      </c>
    </row>
    <row r="17">
      <c r="J17" s="1">
        <v>25.0</v>
      </c>
      <c r="K17" s="1">
        <v>25.0</v>
      </c>
    </row>
    <row r="18">
      <c r="A18" s="1" t="s">
        <v>31</v>
      </c>
      <c r="B18" s="5">
        <v>0.225</v>
      </c>
      <c r="D18" s="1" t="s">
        <v>32</v>
      </c>
      <c r="E18" s="1">
        <f>0.51*(B2-B12)^(1/4)</f>
        <v>0.8609717327</v>
      </c>
      <c r="G18" s="1" t="s">
        <v>33</v>
      </c>
      <c r="H18" s="2">
        <f>E18*(B2-B12)*4*PI()*B18^2/4</f>
        <v>1.11218919</v>
      </c>
      <c r="J18" s="1">
        <v>25.0</v>
      </c>
      <c r="K18" s="1">
        <v>25.1</v>
      </c>
    </row>
    <row r="19">
      <c r="J19" s="2">
        <f t="shared" ref="J19:K19" si="2">AVERAGE(J16:J18)</f>
        <v>24.66666667</v>
      </c>
      <c r="K19" s="2">
        <f t="shared" si="2"/>
        <v>25.13333333</v>
      </c>
    </row>
    <row r="20">
      <c r="G20" s="1" t="s">
        <v>34</v>
      </c>
      <c r="H20" s="2">
        <f>0.85*0.7*5.67*10^(-8)*(B7^4-B12^4)*H15</f>
        <v>12.11004435</v>
      </c>
    </row>
    <row r="22">
      <c r="G22" s="1" t="s">
        <v>35</v>
      </c>
      <c r="H22" s="2">
        <f>H20+H18+H16+H7+H2</f>
        <v>191.4821355</v>
      </c>
      <c r="J22" s="1"/>
    </row>
    <row r="23">
      <c r="G23" s="1" t="s">
        <v>36</v>
      </c>
      <c r="H23" s="2">
        <f>H22*20.67</f>
        <v>3957.935742</v>
      </c>
      <c r="J23" s="1" t="s">
        <v>37</v>
      </c>
    </row>
    <row r="24">
      <c r="J24" s="1" t="s">
        <v>38</v>
      </c>
      <c r="K24" s="1" t="s">
        <v>39</v>
      </c>
    </row>
    <row r="25">
      <c r="A25" s="1" t="s">
        <v>40</v>
      </c>
      <c r="B25" s="1">
        <v>44.0</v>
      </c>
      <c r="D25" s="1" t="s">
        <v>41</v>
      </c>
      <c r="E25" s="1">
        <v>70.0</v>
      </c>
      <c r="G25" s="1" t="s">
        <v>42</v>
      </c>
      <c r="H25" s="2">
        <f>3.05*10^(-3)*(5733-6.99*E25-E27+0.42*(E25-58.15))</f>
        <v>15.97048663</v>
      </c>
      <c r="J25" s="1" t="s">
        <v>43</v>
      </c>
      <c r="K25" s="1" t="s">
        <v>44</v>
      </c>
    </row>
    <row r="26">
      <c r="A26" s="1"/>
      <c r="B26" s="1"/>
      <c r="D26" s="1" t="s">
        <v>45</v>
      </c>
      <c r="E26" s="1">
        <v>175.0</v>
      </c>
      <c r="G26" s="1" t="s">
        <v>46</v>
      </c>
      <c r="H26" s="1">
        <f>0.0014*E25*(34-B12+273.15)</f>
        <v>1.0682</v>
      </c>
      <c r="J26" s="1"/>
      <c r="K26" s="1"/>
    </row>
    <row r="27">
      <c r="D27" s="1" t="s">
        <v>47</v>
      </c>
      <c r="E27" s="2">
        <f>B25/100*6.107*EXP(17.08*(B12-273.15)/(B12-273.15+234.2))</f>
        <v>12.45187667</v>
      </c>
      <c r="G27" s="1" t="s">
        <v>48</v>
      </c>
      <c r="H27" s="2">
        <f>1.72*10^-5*E25*(5867-E27)</f>
        <v>7.04887594</v>
      </c>
      <c r="J27" s="1" t="s">
        <v>49</v>
      </c>
    </row>
    <row r="28">
      <c r="A28" s="1"/>
      <c r="J28" s="1" t="s">
        <v>50</v>
      </c>
      <c r="K28" s="1" t="s">
        <v>51</v>
      </c>
    </row>
    <row r="29">
      <c r="G29" s="1" t="s">
        <v>52</v>
      </c>
    </row>
    <row r="30">
      <c r="G30" s="1" t="s">
        <v>42</v>
      </c>
      <c r="H30" s="2">
        <f>3.05*10^(-3)*(5733-6.99*E26-E27+0.42*(E26-58.15))</f>
        <v>13.86644413</v>
      </c>
    </row>
    <row r="31">
      <c r="G31" s="1" t="s">
        <v>46</v>
      </c>
      <c r="H31" s="1">
        <f>0.0014*E26*(34-B12+273.15)</f>
        <v>2.6705</v>
      </c>
    </row>
    <row r="32">
      <c r="G32" s="1" t="s">
        <v>48</v>
      </c>
      <c r="H32" s="2">
        <f>1.72*10^-5*E26*(5867-E27)</f>
        <v>17.62218985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9" max="9" width="21.38"/>
    <col customWidth="1" min="10" max="10" width="19.25"/>
    <col customWidth="1" min="12" max="12" width="34.75"/>
  </cols>
  <sheetData>
    <row r="1">
      <c r="A1" s="1" t="s">
        <v>0</v>
      </c>
      <c r="I1" s="1" t="s">
        <v>1</v>
      </c>
      <c r="J1" s="1"/>
      <c r="L1" s="1" t="s">
        <v>2</v>
      </c>
    </row>
    <row r="2"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</row>
    <row r="3">
      <c r="A3" s="1" t="s">
        <v>64</v>
      </c>
      <c r="B3" s="2">
        <f>18.7+273.15</f>
        <v>291.85</v>
      </c>
      <c r="C3" s="2">
        <f>13.7+273.15</f>
        <v>286.85</v>
      </c>
      <c r="F3" s="2">
        <f>D3*E3+D9*(E3-E9)</f>
        <v>0</v>
      </c>
      <c r="I3" s="1" t="s">
        <v>65</v>
      </c>
      <c r="J3" s="1"/>
      <c r="L3" s="1" t="s">
        <v>64</v>
      </c>
      <c r="M3" s="2" t="str">
        <f>G3/J3</f>
        <v>#DIV/0!</v>
      </c>
      <c r="N3" s="6" t="str">
        <f t="shared" ref="N3:N10" si="1">(B3-C3)/M3</f>
        <v>#DIV/0!</v>
      </c>
      <c r="O3" s="6" t="str">
        <f>N3/(B12-B3)</f>
        <v>#DIV/0!</v>
      </c>
      <c r="P3" s="6" t="str">
        <f t="shared" ref="P3:P10" si="2">-O3/(B$13-C3)</f>
        <v>#DIV/0!</v>
      </c>
      <c r="Q3" s="6" t="str">
        <f t="shared" ref="Q3:Q10" si="3">1/(O3+M3+P3)</f>
        <v>#DIV/0!</v>
      </c>
    </row>
    <row r="4">
      <c r="A4" s="1" t="s">
        <v>66</v>
      </c>
      <c r="B4" s="2">
        <f>19.7+273.15</f>
        <v>292.85</v>
      </c>
      <c r="C4" s="2">
        <f>18.1+273.15</f>
        <v>291.25</v>
      </c>
      <c r="F4" s="2">
        <f>D4*E4</f>
        <v>0</v>
      </c>
      <c r="I4" s="1" t="s">
        <v>67</v>
      </c>
      <c r="J4" s="1">
        <v>0.95</v>
      </c>
      <c r="L4" s="1" t="s">
        <v>66</v>
      </c>
      <c r="M4" s="2" t="str">
        <f>G4/J3</f>
        <v>#DIV/0!</v>
      </c>
      <c r="N4" s="2" t="str">
        <f t="shared" si="1"/>
        <v>#DIV/0!</v>
      </c>
      <c r="O4" s="2" t="str">
        <f t="shared" ref="O4:O5" si="4">N4/(B12-B4)</f>
        <v>#DIV/0!</v>
      </c>
      <c r="P4" s="2" t="str">
        <f t="shared" si="2"/>
        <v>#DIV/0!</v>
      </c>
      <c r="Q4" s="2" t="str">
        <f t="shared" si="3"/>
        <v>#DIV/0!</v>
      </c>
    </row>
    <row r="5">
      <c r="A5" s="1" t="s">
        <v>68</v>
      </c>
      <c r="B5" s="2">
        <f>20+273.15</f>
        <v>293.15</v>
      </c>
      <c r="C5" s="2">
        <f>19.7+273.15</f>
        <v>292.85</v>
      </c>
      <c r="F5" s="2">
        <f>D5*E5+D10*(E5-E10)</f>
        <v>0</v>
      </c>
      <c r="I5" s="1" t="s">
        <v>69</v>
      </c>
      <c r="L5" s="1" t="s">
        <v>68</v>
      </c>
      <c r="M5" s="2" t="str">
        <f>G5/J3</f>
        <v>#DIV/0!</v>
      </c>
      <c r="N5" s="2" t="str">
        <f t="shared" si="1"/>
        <v>#DIV/0!</v>
      </c>
      <c r="O5" s="2" t="str">
        <f t="shared" si="4"/>
        <v>#DIV/0!</v>
      </c>
      <c r="P5" s="2" t="str">
        <f t="shared" si="2"/>
        <v>#DIV/0!</v>
      </c>
      <c r="Q5" s="2" t="str">
        <f t="shared" si="3"/>
        <v>#DIV/0!</v>
      </c>
    </row>
    <row r="6">
      <c r="A6" s="1" t="s">
        <v>70</v>
      </c>
      <c r="B6" s="2">
        <f>19.1+273.15</f>
        <v>292.25</v>
      </c>
      <c r="F6" s="2">
        <f t="shared" ref="F6:F10" si="5">D6*E6</f>
        <v>0</v>
      </c>
      <c r="I6" s="1" t="s">
        <v>71</v>
      </c>
      <c r="L6" s="1" t="s">
        <v>70</v>
      </c>
      <c r="M6" s="2" t="str">
        <f>G6/J3</f>
        <v>#DIV/0!</v>
      </c>
      <c r="N6" s="2" t="str">
        <f t="shared" si="1"/>
        <v>#DIV/0!</v>
      </c>
      <c r="O6" s="2" t="str">
        <f>N6/(B12-B6)</f>
        <v>#DIV/0!</v>
      </c>
      <c r="P6" s="2" t="str">
        <f t="shared" si="2"/>
        <v>#DIV/0!</v>
      </c>
      <c r="Q6" s="2" t="str">
        <f t="shared" si="3"/>
        <v>#DIV/0!</v>
      </c>
    </row>
    <row r="7">
      <c r="A7" s="1" t="s">
        <v>18</v>
      </c>
      <c r="B7" s="2">
        <f>19.5+273.15</f>
        <v>292.65</v>
      </c>
      <c r="C7" s="2">
        <f>B8</f>
        <v>294.25</v>
      </c>
      <c r="E7" s="1"/>
      <c r="F7" s="2">
        <f t="shared" si="5"/>
        <v>0</v>
      </c>
      <c r="G7" s="1">
        <v>0.285</v>
      </c>
      <c r="I7" s="1" t="s">
        <v>72</v>
      </c>
      <c r="J7" s="1">
        <v>0.14</v>
      </c>
      <c r="L7" s="1" t="s">
        <v>18</v>
      </c>
      <c r="M7" s="2" t="str">
        <f t="shared" ref="M7:M8" si="6">G7/J5</f>
        <v>#DIV/0!</v>
      </c>
      <c r="N7" s="2" t="str">
        <f t="shared" si="1"/>
        <v>#DIV/0!</v>
      </c>
      <c r="O7" s="2" t="str">
        <f>N7/(B12-B7)</f>
        <v>#DIV/0!</v>
      </c>
      <c r="P7" s="2" t="str">
        <f t="shared" si="2"/>
        <v>#DIV/0!</v>
      </c>
      <c r="Q7" s="2" t="str">
        <f t="shared" si="3"/>
        <v>#DIV/0!</v>
      </c>
    </row>
    <row r="8">
      <c r="A8" s="1" t="s">
        <v>73</v>
      </c>
      <c r="B8" s="2">
        <f>21.1+273.15</f>
        <v>294.25</v>
      </c>
      <c r="C8" s="2">
        <f>-10+273.15</f>
        <v>263.15</v>
      </c>
      <c r="F8" s="2">
        <f t="shared" si="5"/>
        <v>0</v>
      </c>
      <c r="G8" s="1">
        <v>0.285</v>
      </c>
      <c r="I8" s="1" t="s">
        <v>74</v>
      </c>
      <c r="J8" s="1">
        <v>0.00316</v>
      </c>
      <c r="L8" s="1" t="s">
        <v>73</v>
      </c>
      <c r="M8" s="2" t="str">
        <f t="shared" si="6"/>
        <v>#DIV/0!</v>
      </c>
      <c r="N8" s="2" t="str">
        <f t="shared" si="1"/>
        <v>#DIV/0!</v>
      </c>
      <c r="O8" s="2" t="str">
        <f>N8/(B12-B8)</f>
        <v>#DIV/0!</v>
      </c>
      <c r="P8" s="2" t="str">
        <f t="shared" si="2"/>
        <v>#DIV/0!</v>
      </c>
      <c r="Q8" s="2" t="str">
        <f t="shared" si="3"/>
        <v>#DIV/0!</v>
      </c>
    </row>
    <row r="9">
      <c r="A9" s="1" t="s">
        <v>75</v>
      </c>
      <c r="B9" s="2">
        <f>18.8+273.15</f>
        <v>291.95</v>
      </c>
      <c r="C9" s="2">
        <f>15.8+273.15</f>
        <v>288.95</v>
      </c>
      <c r="F9" s="2">
        <f t="shared" si="5"/>
        <v>0</v>
      </c>
      <c r="L9" s="1" t="s">
        <v>75</v>
      </c>
      <c r="M9" s="2">
        <f>G9/J4</f>
        <v>0</v>
      </c>
      <c r="N9" s="2" t="str">
        <f t="shared" si="1"/>
        <v>#DIV/0!</v>
      </c>
      <c r="O9" s="2" t="str">
        <f>N9/(B12-B9)</f>
        <v>#DIV/0!</v>
      </c>
      <c r="P9" s="2" t="str">
        <f t="shared" si="2"/>
        <v>#DIV/0!</v>
      </c>
      <c r="Q9" s="2" t="str">
        <f t="shared" si="3"/>
        <v>#DIV/0!</v>
      </c>
    </row>
    <row r="10">
      <c r="A10" s="7" t="s">
        <v>76</v>
      </c>
      <c r="B10" s="7">
        <f>20+273.15</f>
        <v>293.15</v>
      </c>
      <c r="C10" s="2">
        <f>19.7+273.15</f>
        <v>292.85</v>
      </c>
      <c r="F10" s="2">
        <f t="shared" si="5"/>
        <v>0</v>
      </c>
      <c r="L10" s="7" t="s">
        <v>76</v>
      </c>
      <c r="M10" s="2">
        <f>G10/J7</f>
        <v>0</v>
      </c>
      <c r="N10" s="2" t="str">
        <f t="shared" si="1"/>
        <v>#DIV/0!</v>
      </c>
      <c r="O10" s="2" t="str">
        <f>N10/(B12-B10)</f>
        <v>#DIV/0!</v>
      </c>
      <c r="P10" s="2" t="str">
        <f t="shared" si="2"/>
        <v>#DIV/0!</v>
      </c>
      <c r="Q10" s="2" t="str">
        <f t="shared" si="3"/>
        <v>#DIV/0!</v>
      </c>
    </row>
    <row r="12">
      <c r="A12" s="1" t="s">
        <v>77</v>
      </c>
      <c r="B12" s="1">
        <f>22.4+273.15</f>
        <v>295.55</v>
      </c>
    </row>
    <row r="13">
      <c r="A13" s="1" t="s">
        <v>78</v>
      </c>
      <c r="B13" s="1">
        <f>15+273.15</f>
        <v>288.15</v>
      </c>
    </row>
    <row r="15">
      <c r="A15" s="1" t="s">
        <v>79</v>
      </c>
      <c r="B15" s="8">
        <v>0.9166666666666666</v>
      </c>
    </row>
    <row r="16">
      <c r="L16" s="1" t="s">
        <v>80</v>
      </c>
      <c r="M16" s="2" t="str">
        <f>(F3*Q3+F9*Q9+0.5*(F4*Q4+F5*Q5+F6*Q6+F10*Q10)+0.8*F8*Q8+0.5*F7*Q7)/(SUM(F3:F10))</f>
        <v>#DIV/0!</v>
      </c>
    </row>
  </sheetData>
  <drawing r:id="rId1"/>
</worksheet>
</file>