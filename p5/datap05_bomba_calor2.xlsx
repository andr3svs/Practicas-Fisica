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s\Desktop\p5\"/>
    </mc:Choice>
  </mc:AlternateContent>
  <xr:revisionPtr revIDLastSave="0" documentId="13_ncr:1_{34493EF7-5484-4D2E-AA30-0B84382BC15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stantes" sheetId="1" r:id="rId1"/>
    <sheet name="Medidas" sheetId="2" r:id="rId2"/>
    <sheet name="Calculos" sheetId="3" r:id="rId3"/>
    <sheet name="Ajus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K4" i="2"/>
  <c r="K14" i="2"/>
  <c r="K15" i="2"/>
  <c r="K16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36" i="2"/>
  <c r="I37" i="2"/>
  <c r="I48" i="2"/>
  <c r="I49" i="2"/>
  <c r="I61" i="2"/>
  <c r="H4" i="2"/>
  <c r="H5" i="2"/>
  <c r="K5" i="2" s="1"/>
  <c r="H6" i="2"/>
  <c r="K6" i="2" s="1"/>
  <c r="H7" i="2"/>
  <c r="K7" i="2" s="1"/>
  <c r="H8" i="2"/>
  <c r="K8" i="2" s="1"/>
  <c r="H9" i="2"/>
  <c r="K9" i="2" s="1"/>
  <c r="H10" i="2"/>
  <c r="K10" i="2" s="1"/>
  <c r="H11" i="2"/>
  <c r="K11" i="2" s="1"/>
  <c r="H12" i="2"/>
  <c r="K12" i="2" s="1"/>
  <c r="H13" i="2"/>
  <c r="K13" i="2" s="1"/>
  <c r="H14" i="2"/>
  <c r="H15" i="2"/>
  <c r="H16" i="2"/>
  <c r="H17" i="2"/>
  <c r="K17" i="2" s="1"/>
  <c r="H18" i="2"/>
  <c r="K18" i="2" s="1"/>
  <c r="H19" i="2"/>
  <c r="K19" i="2" s="1"/>
  <c r="H20" i="2"/>
  <c r="K20" i="2" s="1"/>
  <c r="H21" i="2"/>
  <c r="K21" i="2" s="1"/>
  <c r="H22" i="2"/>
  <c r="K22" i="2" s="1"/>
  <c r="H23" i="2"/>
  <c r="K23" i="2" s="1"/>
  <c r="H24" i="2"/>
  <c r="K24" i="2" s="1"/>
  <c r="H25" i="2"/>
  <c r="K25" i="2" s="1"/>
  <c r="H26" i="2"/>
  <c r="H27" i="2"/>
  <c r="H28" i="2"/>
  <c r="H29" i="2"/>
  <c r="H30" i="2"/>
  <c r="H31" i="2"/>
  <c r="H32" i="2"/>
  <c r="H33" i="2"/>
  <c r="H34" i="2"/>
  <c r="H35" i="2"/>
  <c r="H36" i="2"/>
  <c r="K36" i="2" s="1"/>
  <c r="H37" i="2"/>
  <c r="K37" i="2" s="1"/>
  <c r="H38" i="2"/>
  <c r="H39" i="2"/>
  <c r="H40" i="2"/>
  <c r="H41" i="2"/>
  <c r="H42" i="2"/>
  <c r="H43" i="2"/>
  <c r="H44" i="2"/>
  <c r="H45" i="2"/>
  <c r="H46" i="2"/>
  <c r="H47" i="2"/>
  <c r="H48" i="2"/>
  <c r="K48" i="2" s="1"/>
  <c r="H49" i="2"/>
  <c r="K49" i="2" s="1"/>
  <c r="H50" i="2"/>
  <c r="H51" i="2"/>
  <c r="H52" i="2"/>
  <c r="H53" i="2"/>
  <c r="H54" i="2"/>
  <c r="H55" i="2"/>
  <c r="H56" i="2"/>
  <c r="H57" i="2"/>
  <c r="H58" i="2"/>
  <c r="H59" i="2"/>
  <c r="H60" i="2"/>
  <c r="H61" i="2"/>
  <c r="K61" i="2" s="1"/>
  <c r="H62" i="2"/>
  <c r="H3" i="2"/>
  <c r="K3" i="2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A24" i="2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I62" i="2" s="1"/>
  <c r="K62" i="2" s="1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B3" i="1"/>
  <c r="B2" i="1"/>
  <c r="L3" i="2" l="1"/>
  <c r="L7" i="2"/>
  <c r="L6" i="2"/>
  <c r="K54" i="2"/>
  <c r="K60" i="2"/>
  <c r="K47" i="2"/>
  <c r="K58" i="2"/>
  <c r="K46" i="2"/>
  <c r="K44" i="2"/>
  <c r="K32" i="2"/>
  <c r="K55" i="2"/>
  <c r="K43" i="2"/>
  <c r="K31" i="2"/>
  <c r="K30" i="2"/>
  <c r="I35" i="2"/>
  <c r="K35" i="2" s="1"/>
  <c r="I34" i="2"/>
  <c r="K34" i="2" s="1"/>
  <c r="I33" i="2"/>
  <c r="K33" i="2" s="1"/>
  <c r="I44" i="2"/>
  <c r="I43" i="2"/>
  <c r="I31" i="2"/>
  <c r="I53" i="2"/>
  <c r="K53" i="2" s="1"/>
  <c r="I41" i="2"/>
  <c r="K41" i="2" s="1"/>
  <c r="I29" i="2"/>
  <c r="K29" i="2" s="1"/>
  <c r="I58" i="2"/>
  <c r="I45" i="2"/>
  <c r="K45" i="2" s="1"/>
  <c r="I56" i="2"/>
  <c r="K56" i="2" s="1"/>
  <c r="I42" i="2"/>
  <c r="K42" i="2" s="1"/>
  <c r="I52" i="2"/>
  <c r="K52" i="2" s="1"/>
  <c r="I40" i="2"/>
  <c r="K40" i="2" s="1"/>
  <c r="I28" i="2"/>
  <c r="K28" i="2" s="1"/>
  <c r="I60" i="2"/>
  <c r="I47" i="2"/>
  <c r="I46" i="2"/>
  <c r="I55" i="2"/>
  <c r="I54" i="2"/>
  <c r="I30" i="2"/>
  <c r="I51" i="2"/>
  <c r="K51" i="2" s="1"/>
  <c r="I39" i="2"/>
  <c r="K39" i="2" s="1"/>
  <c r="I27" i="2"/>
  <c r="K27" i="2" s="1"/>
  <c r="I59" i="2"/>
  <c r="K59" i="2" s="1"/>
  <c r="I57" i="2"/>
  <c r="K57" i="2" s="1"/>
  <c r="I32" i="2"/>
  <c r="I50" i="2"/>
  <c r="K50" i="2" s="1"/>
  <c r="I38" i="2"/>
  <c r="K38" i="2" s="1"/>
  <c r="I26" i="2"/>
  <c r="K26" i="2" s="1"/>
</calcChain>
</file>

<file path=xl/sharedStrings.xml><?xml version="1.0" encoding="utf-8"?>
<sst xmlns="http://schemas.openxmlformats.org/spreadsheetml/2006/main" count="87" uniqueCount="70">
  <si>
    <t>Parámetro</t>
  </si>
  <si>
    <t>Valor</t>
  </si>
  <si>
    <t>Unidad</t>
  </si>
  <si>
    <t>Descripción</t>
  </si>
  <si>
    <t>Masa agua caliente (m_C)</t>
  </si>
  <si>
    <t>kg</t>
  </si>
  <si>
    <t>Masa del agua en el condensador</t>
  </si>
  <si>
    <t>Masa agua fría (m_F)</t>
  </si>
  <si>
    <t>Masa del agua en el evaporador</t>
  </si>
  <si>
    <t>Calor específico agua (c_p)</t>
  </si>
  <si>
    <t>J/(kg·K)</t>
  </si>
  <si>
    <t>Capacidad calorífica del agua</t>
  </si>
  <si>
    <t>Incertidumbre Tipo A (T)</t>
  </si>
  <si>
    <t>K</t>
  </si>
  <si>
    <t>Desviación estándar de la media</t>
  </si>
  <si>
    <t>Incertidumbre Tipo B (T)</t>
  </si>
  <si>
    <t>Resolución del termómetro</t>
  </si>
  <si>
    <t>Incertidumbre Tipo C (T)</t>
  </si>
  <si>
    <t>Otras fuentes</t>
  </si>
  <si>
    <t>Factor de cobertura (k)</t>
  </si>
  <si>
    <t>-</t>
  </si>
  <si>
    <t>Para expandida (habitualmente 2)</t>
  </si>
  <si>
    <t>Incertidumbre Tipo A (P)</t>
  </si>
  <si>
    <t>W</t>
  </si>
  <si>
    <t>Fluctuación de la potencia</t>
  </si>
  <si>
    <t>Incertidumbre Tipo B (P)</t>
  </si>
  <si>
    <t>Resolución del vatímetro</t>
  </si>
  <si>
    <t>Incertidumbre Tipo C (P)</t>
  </si>
  <si>
    <t>Incertidumbre Tipo A (t)</t>
  </si>
  <si>
    <t>s</t>
  </si>
  <si>
    <t>Error de reacción</t>
  </si>
  <si>
    <t>Incertidumbre Tipo B (t)</t>
  </si>
  <si>
    <t>Resolución del cronómetro</t>
  </si>
  <si>
    <t>Incertidumbre Tipo C (t)</t>
  </si>
  <si>
    <t>Tiempo (t) [s]</t>
  </si>
  <si>
    <t>u_c (T)</t>
  </si>
  <si>
    <t>u_c (P)</t>
  </si>
  <si>
    <t>T_F [K]</t>
  </si>
  <si>
    <t>T_C [K]</t>
  </si>
  <si>
    <t>ΔT [K]</t>
  </si>
  <si>
    <t>Q_F [J]</t>
  </si>
  <si>
    <t>Q_C [J]</t>
  </si>
  <si>
    <t>W_suministrado [J]</t>
  </si>
  <si>
    <t>COP_heating</t>
  </si>
  <si>
    <t>COP_cooling</t>
  </si>
  <si>
    <t>COP_Carnot_heating</t>
  </si>
  <si>
    <t>COP_Carnot_cooling</t>
  </si>
  <si>
    <t>Variable X</t>
  </si>
  <si>
    <t>Variable Y</t>
  </si>
  <si>
    <t>Pendiente (m)</t>
  </si>
  <si>
    <t>u(m)</t>
  </si>
  <si>
    <t>Ordenada (b)</t>
  </si>
  <si>
    <t>u(b)</t>
  </si>
  <si>
    <t>R^2</t>
  </si>
  <si>
    <t>1/ΔT [1/K]</t>
  </si>
  <si>
    <t>Incertidumbre Tipo B peso (kg)</t>
  </si>
  <si>
    <t>Masa vaso lleno (L)</t>
  </si>
  <si>
    <t>Masa vaso vacio (L)</t>
  </si>
  <si>
    <t>Masa vaso vacío (v)</t>
  </si>
  <si>
    <t>Masa vaso lleno (v)</t>
  </si>
  <si>
    <t>COP_IDEAL</t>
  </si>
  <si>
    <t>Q_c</t>
  </si>
  <si>
    <t>COP_EXP</t>
  </si>
  <si>
    <t>U_COP</t>
  </si>
  <si>
    <t>W(J)</t>
  </si>
  <si>
    <t>uW(J)</t>
  </si>
  <si>
    <t>t_f</t>
  </si>
  <si>
    <t>t_c</t>
  </si>
  <si>
    <t>Potencia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</si>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</sst>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B19" sqref="B19"/>
    </sheetView>
  </sheetViews>
  <sheetFormatPr defaultRowHeight="14.4" x14ac:dyDescent="0.3"/>
  <cols>
    <col min="1" max="1" width="49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t="s">
        <v>4</v>
      </c>
      <c r="B2">
        <f>B16-B15</f>
        <v>1.623</v>
      </c>
      <c r="C2" t="s">
        <v>5</v>
      </c>
      <c r="D2" t="s">
        <v>6</v>
      </c>
    </row>
    <row r="3" spans="1:6" x14ac:dyDescent="0.3">
      <c r="A3" t="s">
        <v>7</v>
      </c>
      <c r="B3">
        <f>B19-B18</f>
        <v>1.6019999999999999</v>
      </c>
      <c r="C3" t="s">
        <v>5</v>
      </c>
      <c r="D3" t="s">
        <v>8</v>
      </c>
    </row>
    <row r="4" spans="1:6" x14ac:dyDescent="0.3">
      <c r="A4" t="s">
        <v>9</v>
      </c>
      <c r="B4">
        <v>4186</v>
      </c>
      <c r="C4" t="s">
        <v>10</v>
      </c>
      <c r="D4" t="s">
        <v>11</v>
      </c>
    </row>
    <row r="5" spans="1:6" x14ac:dyDescent="0.3">
      <c r="A5" t="s">
        <v>12</v>
      </c>
      <c r="B5">
        <v>0</v>
      </c>
      <c r="C5" t="s">
        <v>13</v>
      </c>
      <c r="D5" t="s">
        <v>14</v>
      </c>
    </row>
    <row r="6" spans="1:6" x14ac:dyDescent="0.3">
      <c r="A6" t="s">
        <v>15</v>
      </c>
      <c r="B6">
        <v>0.1</v>
      </c>
      <c r="C6" t="s">
        <v>13</v>
      </c>
      <c r="D6" t="s">
        <v>16</v>
      </c>
    </row>
    <row r="7" spans="1:6" x14ac:dyDescent="0.3">
      <c r="A7" t="s">
        <v>17</v>
      </c>
      <c r="B7">
        <v>0.1</v>
      </c>
      <c r="C7" t="s">
        <v>13</v>
      </c>
      <c r="D7" t="s">
        <v>18</v>
      </c>
    </row>
    <row r="8" spans="1:6" x14ac:dyDescent="0.3">
      <c r="A8" t="s">
        <v>19</v>
      </c>
      <c r="B8">
        <v>1</v>
      </c>
      <c r="C8" t="s">
        <v>20</v>
      </c>
      <c r="D8" t="s">
        <v>21</v>
      </c>
    </row>
    <row r="9" spans="1:6" x14ac:dyDescent="0.3">
      <c r="A9" t="s">
        <v>22</v>
      </c>
      <c r="B9">
        <v>0</v>
      </c>
      <c r="C9" t="s">
        <v>23</v>
      </c>
      <c r="D9" t="s">
        <v>24</v>
      </c>
    </row>
    <row r="10" spans="1:6" x14ac:dyDescent="0.3">
      <c r="A10" t="s">
        <v>25</v>
      </c>
      <c r="B10">
        <v>1</v>
      </c>
      <c r="C10" t="s">
        <v>23</v>
      </c>
      <c r="D10" t="s">
        <v>26</v>
      </c>
    </row>
    <row r="11" spans="1:6" x14ac:dyDescent="0.3">
      <c r="A11" t="s">
        <v>27</v>
      </c>
      <c r="B11">
        <v>0</v>
      </c>
      <c r="C11" t="s">
        <v>23</v>
      </c>
      <c r="D11" t="s">
        <v>18</v>
      </c>
    </row>
    <row r="12" spans="1:6" x14ac:dyDescent="0.3">
      <c r="A12" t="s">
        <v>28</v>
      </c>
      <c r="B12">
        <v>0</v>
      </c>
      <c r="C12" t="s">
        <v>29</v>
      </c>
      <c r="D12" t="s">
        <v>30</v>
      </c>
    </row>
    <row r="13" spans="1:6" x14ac:dyDescent="0.3">
      <c r="A13" t="s">
        <v>31</v>
      </c>
      <c r="B13">
        <v>0.5</v>
      </c>
      <c r="C13" t="s">
        <v>29</v>
      </c>
      <c r="D13" t="s">
        <v>32</v>
      </c>
    </row>
    <row r="14" spans="1:6" x14ac:dyDescent="0.3">
      <c r="A14" t="s">
        <v>33</v>
      </c>
      <c r="B14">
        <v>0</v>
      </c>
      <c r="C14" t="s">
        <v>29</v>
      </c>
      <c r="D14" t="s">
        <v>18</v>
      </c>
    </row>
    <row r="15" spans="1:6" x14ac:dyDescent="0.3">
      <c r="A15" t="s">
        <v>57</v>
      </c>
      <c r="B15">
        <v>0.1547</v>
      </c>
      <c r="C15" t="s">
        <v>5</v>
      </c>
      <c r="F15">
        <v>7.1999999999999995E-2</v>
      </c>
    </row>
    <row r="16" spans="1:6" x14ac:dyDescent="0.3">
      <c r="A16" t="s">
        <v>56</v>
      </c>
      <c r="B16">
        <v>1.7777000000000001</v>
      </c>
      <c r="C16" t="s">
        <v>5</v>
      </c>
    </row>
    <row r="18" spans="1:3" x14ac:dyDescent="0.3">
      <c r="A18" t="s">
        <v>58</v>
      </c>
      <c r="B18">
        <v>7.1999999999999995E-2</v>
      </c>
      <c r="C18" t="s">
        <v>5</v>
      </c>
    </row>
    <row r="19" spans="1:3" x14ac:dyDescent="0.3">
      <c r="A19" t="s">
        <v>59</v>
      </c>
      <c r="B19">
        <v>1.6739999999999999</v>
      </c>
      <c r="C19" t="s">
        <v>5</v>
      </c>
    </row>
    <row r="20" spans="1:3" x14ac:dyDescent="0.3">
      <c r="A20" t="s">
        <v>55</v>
      </c>
      <c r="B20">
        <v>9.9999999999999995E-7</v>
      </c>
      <c r="C20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2"/>
  <sheetViews>
    <sheetView tabSelected="1" zoomScale="85" zoomScaleNormal="85" workbookViewId="0">
      <selection activeCell="C2" sqref="C2"/>
    </sheetView>
  </sheetViews>
  <sheetFormatPr defaultRowHeight="14.4" x14ac:dyDescent="0.3"/>
  <cols>
    <col min="2" max="2" width="24.33203125" bestFit="1" customWidth="1"/>
    <col min="3" max="3" width="28.33203125" customWidth="1"/>
    <col min="4" max="4" width="17.6640625" customWidth="1"/>
  </cols>
  <sheetData>
    <row r="1" spans="1:12" x14ac:dyDescent="0.3">
      <c r="A1" s="1" t="s">
        <v>69</v>
      </c>
      <c r="B1" s="1" t="s">
        <v>66</v>
      </c>
      <c r="C1" s="1" t="s">
        <v>67</v>
      </c>
      <c r="D1" s="1" t="s">
        <v>68</v>
      </c>
      <c r="E1" s="1" t="s">
        <v>35</v>
      </c>
      <c r="F1" s="3" t="s">
        <v>36</v>
      </c>
      <c r="G1" s="4" t="s">
        <v>60</v>
      </c>
      <c r="H1" s="4" t="s">
        <v>61</v>
      </c>
      <c r="I1" s="4" t="s">
        <v>64</v>
      </c>
      <c r="J1" s="4" t="s">
        <v>65</v>
      </c>
      <c r="K1" s="4" t="s">
        <v>62</v>
      </c>
      <c r="L1" s="4" t="s">
        <v>63</v>
      </c>
    </row>
    <row r="2" spans="1:12" x14ac:dyDescent="0.3">
      <c r="A2">
        <v>0</v>
      </c>
      <c r="B2">
        <v>17</v>
      </c>
      <c r="C2">
        <v>23</v>
      </c>
      <c r="D2">
        <v>0</v>
      </c>
      <c r="E2">
        <v>0.1</v>
      </c>
      <c r="F2">
        <v>0</v>
      </c>
    </row>
    <row r="3" spans="1:12" x14ac:dyDescent="0.3">
      <c r="A3">
        <v>30</v>
      </c>
      <c r="B3">
        <v>16</v>
      </c>
      <c r="C3">
        <v>23.7</v>
      </c>
      <c r="D3">
        <v>53.04</v>
      </c>
      <c r="E3">
        <f>Constantes!$B$6</f>
        <v>0.1</v>
      </c>
      <c r="F3">
        <f t="shared" ref="F3:F62" si="0">0.01</f>
        <v>0.01</v>
      </c>
      <c r="G3">
        <f t="shared" ref="G3:G62" si="1">C3/(C3-B3)</f>
        <v>3.0779220779220782</v>
      </c>
      <c r="H3">
        <f>4184*(C3-C2)</f>
        <v>2928.799999999997</v>
      </c>
      <c r="I3">
        <f t="shared" ref="I3:I62" si="2">D3*A3</f>
        <v>1591.2</v>
      </c>
      <c r="J3">
        <f t="shared" ref="J3:J62" si="3">F3*A3</f>
        <v>0.3</v>
      </c>
      <c r="K3">
        <f>ABS(H3/I3)</f>
        <v>1.8406234288587211</v>
      </c>
      <c r="L3">
        <f t="shared" ref="L3:L62" si="4">SQRT(((1/I3)*SQRT(2)*E3)^2+((H3/(I3*I3)*J3)^2))</f>
        <v>3.5822600758814843E-4</v>
      </c>
    </row>
    <row r="4" spans="1:12" x14ac:dyDescent="0.3">
      <c r="A4">
        <v>60</v>
      </c>
      <c r="B4">
        <v>16.8</v>
      </c>
      <c r="C4">
        <v>24.4</v>
      </c>
      <c r="D4">
        <v>45.6</v>
      </c>
      <c r="E4">
        <f>Constantes!$B$6</f>
        <v>0.1</v>
      </c>
      <c r="F4">
        <f t="shared" si="0"/>
        <v>0.01</v>
      </c>
      <c r="G4">
        <f t="shared" si="1"/>
        <v>3.2105263157894743</v>
      </c>
      <c r="H4">
        <f t="shared" ref="H4:H62" si="5">4184*(C4-C3)</f>
        <v>2928.799999999997</v>
      </c>
      <c r="I4">
        <f t="shared" si="2"/>
        <v>2736</v>
      </c>
      <c r="J4">
        <f t="shared" si="3"/>
        <v>0.6</v>
      </c>
      <c r="K4">
        <f t="shared" ref="K4:K62" si="6">ABS(H4/I4)</f>
        <v>1.0704678362573088</v>
      </c>
      <c r="L4">
        <f t="shared" si="4"/>
        <v>2.403749811851537E-4</v>
      </c>
    </row>
    <row r="5" spans="1:12" x14ac:dyDescent="0.3">
      <c r="A5">
        <v>90</v>
      </c>
      <c r="B5">
        <v>16.7</v>
      </c>
      <c r="C5">
        <v>25.3</v>
      </c>
      <c r="D5">
        <v>67.709999999999994</v>
      </c>
      <c r="E5">
        <f>Constantes!$B$6</f>
        <v>0.1</v>
      </c>
      <c r="F5">
        <f t="shared" si="0"/>
        <v>0.01</v>
      </c>
      <c r="G5">
        <f t="shared" si="1"/>
        <v>2.9418604651162785</v>
      </c>
      <c r="H5">
        <f t="shared" si="5"/>
        <v>3765.600000000009</v>
      </c>
      <c r="I5">
        <f t="shared" si="2"/>
        <v>6093.9</v>
      </c>
      <c r="J5">
        <f t="shared" si="3"/>
        <v>0.9</v>
      </c>
      <c r="K5">
        <f t="shared" si="6"/>
        <v>0.61792940481465219</v>
      </c>
      <c r="L5">
        <f t="shared" si="4"/>
        <v>9.4165642775989326E-5</v>
      </c>
    </row>
    <row r="6" spans="1:12" x14ac:dyDescent="0.3">
      <c r="A6">
        <v>120</v>
      </c>
      <c r="B6">
        <v>15.6</v>
      </c>
      <c r="C6">
        <v>26.3</v>
      </c>
      <c r="D6">
        <v>63.28</v>
      </c>
      <c r="E6">
        <f>Constantes!$B$6</f>
        <v>0.1</v>
      </c>
      <c r="F6">
        <f t="shared" si="0"/>
        <v>0.01</v>
      </c>
      <c r="G6">
        <f t="shared" si="1"/>
        <v>2.4579439252336446</v>
      </c>
      <c r="H6">
        <f t="shared" si="5"/>
        <v>4184</v>
      </c>
      <c r="I6">
        <f t="shared" si="2"/>
        <v>7593.6</v>
      </c>
      <c r="J6">
        <f t="shared" si="3"/>
        <v>1.2</v>
      </c>
      <c r="K6">
        <f t="shared" si="6"/>
        <v>0.5509903076274757</v>
      </c>
      <c r="L6">
        <f t="shared" si="4"/>
        <v>8.9041234710848403E-5</v>
      </c>
    </row>
    <row r="7" spans="1:12" x14ac:dyDescent="0.3">
      <c r="A7">
        <v>150</v>
      </c>
      <c r="B7">
        <v>15.4</v>
      </c>
      <c r="C7">
        <v>26.7</v>
      </c>
      <c r="D7">
        <v>62.72</v>
      </c>
      <c r="E7">
        <f>Constantes!$B$6</f>
        <v>0.1</v>
      </c>
      <c r="F7">
        <f t="shared" si="0"/>
        <v>0.01</v>
      </c>
      <c r="G7">
        <f t="shared" si="1"/>
        <v>2.36283185840708</v>
      </c>
      <c r="H7">
        <f t="shared" si="5"/>
        <v>1673.599999999994</v>
      </c>
      <c r="I7">
        <f t="shared" si="2"/>
        <v>9408</v>
      </c>
      <c r="J7">
        <f t="shared" si="3"/>
        <v>1.5</v>
      </c>
      <c r="K7">
        <f t="shared" si="6"/>
        <v>0.17789115646258438</v>
      </c>
      <c r="L7">
        <f t="shared" si="4"/>
        <v>3.2099960539666204E-5</v>
      </c>
    </row>
    <row r="8" spans="1:12" x14ac:dyDescent="0.3">
      <c r="A8">
        <v>180</v>
      </c>
      <c r="B8">
        <v>14.8</v>
      </c>
      <c r="C8">
        <v>28.1</v>
      </c>
      <c r="D8">
        <v>62.72</v>
      </c>
      <c r="E8">
        <f>Constantes!$B$6</f>
        <v>0.1</v>
      </c>
      <c r="F8">
        <f t="shared" si="0"/>
        <v>0.01</v>
      </c>
      <c r="G8">
        <f t="shared" si="1"/>
        <v>2.1127819548872182</v>
      </c>
      <c r="H8">
        <f t="shared" si="5"/>
        <v>5857.6000000000085</v>
      </c>
      <c r="I8">
        <f t="shared" si="2"/>
        <v>11289.6</v>
      </c>
      <c r="J8">
        <f t="shared" si="3"/>
        <v>1.8</v>
      </c>
      <c r="K8">
        <f t="shared" si="6"/>
        <v>0.51884920634920706</v>
      </c>
      <c r="L8">
        <f t="shared" si="4"/>
        <v>8.3667742161166585E-5</v>
      </c>
    </row>
    <row r="9" spans="1:12" x14ac:dyDescent="0.3">
      <c r="A9">
        <v>210</v>
      </c>
      <c r="B9">
        <v>14</v>
      </c>
      <c r="C9">
        <v>28.6</v>
      </c>
      <c r="D9">
        <v>59.28</v>
      </c>
      <c r="E9">
        <f>Constantes!$B$6</f>
        <v>0.1</v>
      </c>
      <c r="F9">
        <f t="shared" si="0"/>
        <v>0.01</v>
      </c>
      <c r="G9">
        <f t="shared" si="1"/>
        <v>1.9589041095890409</v>
      </c>
      <c r="H9">
        <f t="shared" si="5"/>
        <v>2092</v>
      </c>
      <c r="I9">
        <f t="shared" si="2"/>
        <v>12448.800000000001</v>
      </c>
      <c r="J9">
        <f t="shared" si="3"/>
        <v>2.1</v>
      </c>
      <c r="K9">
        <f t="shared" si="6"/>
        <v>0.16804832594306277</v>
      </c>
      <c r="L9">
        <f t="shared" si="4"/>
        <v>3.0539767106444758E-5</v>
      </c>
    </row>
    <row r="10" spans="1:12" x14ac:dyDescent="0.3">
      <c r="A10">
        <v>240</v>
      </c>
      <c r="B10">
        <v>13.6</v>
      </c>
      <c r="C10">
        <v>29.5</v>
      </c>
      <c r="D10">
        <v>56.71</v>
      </c>
      <c r="E10">
        <f>Constantes!$B$6</f>
        <v>0.1</v>
      </c>
      <c r="F10">
        <f t="shared" si="0"/>
        <v>0.01</v>
      </c>
      <c r="G10">
        <f t="shared" si="1"/>
        <v>1.8553459119496856</v>
      </c>
      <c r="H10">
        <f t="shared" si="5"/>
        <v>3765.599999999994</v>
      </c>
      <c r="I10">
        <f t="shared" si="2"/>
        <v>13610.4</v>
      </c>
      <c r="J10">
        <f t="shared" si="3"/>
        <v>2.4</v>
      </c>
      <c r="K10">
        <f t="shared" si="6"/>
        <v>0.27667078116734217</v>
      </c>
      <c r="L10">
        <f t="shared" si="4"/>
        <v>4.9881184616988545E-5</v>
      </c>
    </row>
    <row r="11" spans="1:12" x14ac:dyDescent="0.3">
      <c r="A11">
        <v>270</v>
      </c>
      <c r="B11">
        <v>13.4</v>
      </c>
      <c r="C11">
        <v>30.3</v>
      </c>
      <c r="D11">
        <v>69.02</v>
      </c>
      <c r="E11">
        <f>Constantes!$B$6</f>
        <v>0.1</v>
      </c>
      <c r="F11">
        <f t="shared" si="0"/>
        <v>0.01</v>
      </c>
      <c r="G11">
        <f t="shared" si="1"/>
        <v>1.7928994082840239</v>
      </c>
      <c r="H11">
        <f t="shared" si="5"/>
        <v>3347.200000000003</v>
      </c>
      <c r="I11">
        <f t="shared" si="2"/>
        <v>18635.399999999998</v>
      </c>
      <c r="J11">
        <f t="shared" si="3"/>
        <v>2.7</v>
      </c>
      <c r="K11">
        <f t="shared" si="6"/>
        <v>0.17961514107558751</v>
      </c>
      <c r="L11">
        <f t="shared" si="4"/>
        <v>2.7107570860333342E-5</v>
      </c>
    </row>
    <row r="12" spans="1:12" x14ac:dyDescent="0.3">
      <c r="A12">
        <v>300</v>
      </c>
      <c r="B12">
        <v>12.1</v>
      </c>
      <c r="C12">
        <v>31</v>
      </c>
      <c r="D12">
        <v>70.8</v>
      </c>
      <c r="E12">
        <f>Constantes!$B$6</f>
        <v>0.1</v>
      </c>
      <c r="F12">
        <f t="shared" si="0"/>
        <v>0.01</v>
      </c>
      <c r="G12">
        <f t="shared" si="1"/>
        <v>1.6402116402116402</v>
      </c>
      <c r="H12">
        <f t="shared" si="5"/>
        <v>2928.799999999997</v>
      </c>
      <c r="I12">
        <f t="shared" si="2"/>
        <v>21240</v>
      </c>
      <c r="J12">
        <f t="shared" si="3"/>
        <v>3</v>
      </c>
      <c r="K12">
        <f t="shared" si="6"/>
        <v>0.13789077212806011</v>
      </c>
      <c r="L12">
        <f t="shared" si="4"/>
        <v>2.0582778143255825E-5</v>
      </c>
    </row>
    <row r="13" spans="1:12" x14ac:dyDescent="0.3">
      <c r="A13">
        <v>330</v>
      </c>
      <c r="B13">
        <v>12.2</v>
      </c>
      <c r="C13">
        <v>32</v>
      </c>
      <c r="D13">
        <v>70.180000000000007</v>
      </c>
      <c r="E13">
        <f>Constantes!$B$6</f>
        <v>0.1</v>
      </c>
      <c r="F13">
        <f t="shared" si="0"/>
        <v>0.01</v>
      </c>
      <c r="G13">
        <f t="shared" si="1"/>
        <v>1.6161616161616161</v>
      </c>
      <c r="H13">
        <f t="shared" si="5"/>
        <v>4184</v>
      </c>
      <c r="I13">
        <f t="shared" si="2"/>
        <v>23159.4</v>
      </c>
      <c r="J13">
        <f t="shared" si="3"/>
        <v>3.3000000000000003</v>
      </c>
      <c r="K13">
        <f t="shared" si="6"/>
        <v>0.18066098430874719</v>
      </c>
      <c r="L13">
        <f t="shared" si="4"/>
        <v>2.6456865314646622E-5</v>
      </c>
    </row>
    <row r="14" spans="1:12" x14ac:dyDescent="0.3">
      <c r="A14">
        <v>360</v>
      </c>
      <c r="B14">
        <v>11.3</v>
      </c>
      <c r="C14">
        <v>32.6</v>
      </c>
      <c r="D14">
        <v>71.98</v>
      </c>
      <c r="E14">
        <f>Constantes!$B$6</f>
        <v>0.1</v>
      </c>
      <c r="F14">
        <f t="shared" si="0"/>
        <v>0.01</v>
      </c>
      <c r="G14">
        <f t="shared" si="1"/>
        <v>1.5305164319248827</v>
      </c>
      <c r="H14">
        <f t="shared" si="5"/>
        <v>2510.400000000006</v>
      </c>
      <c r="I14">
        <f t="shared" si="2"/>
        <v>25912.800000000003</v>
      </c>
      <c r="J14">
        <f t="shared" si="3"/>
        <v>3.6</v>
      </c>
      <c r="K14">
        <f t="shared" si="6"/>
        <v>9.6878762619246314E-2</v>
      </c>
      <c r="L14">
        <f t="shared" si="4"/>
        <v>1.4523540488670406E-5</v>
      </c>
    </row>
    <row r="15" spans="1:12" x14ac:dyDescent="0.3">
      <c r="A15">
        <v>390</v>
      </c>
      <c r="B15">
        <v>10.5</v>
      </c>
      <c r="C15">
        <v>33.200000000000003</v>
      </c>
      <c r="D15">
        <v>74.400000000000006</v>
      </c>
      <c r="E15">
        <f>Constantes!$B$6</f>
        <v>0.1</v>
      </c>
      <c r="F15">
        <f t="shared" si="0"/>
        <v>0.01</v>
      </c>
      <c r="G15">
        <f t="shared" si="1"/>
        <v>1.4625550660792952</v>
      </c>
      <c r="H15">
        <f t="shared" si="5"/>
        <v>2510.400000000006</v>
      </c>
      <c r="I15">
        <f t="shared" si="2"/>
        <v>29016.000000000004</v>
      </c>
      <c r="J15">
        <f t="shared" si="3"/>
        <v>3.9</v>
      </c>
      <c r="K15">
        <f t="shared" si="6"/>
        <v>8.6517783291977041E-2</v>
      </c>
      <c r="L15">
        <f t="shared" si="4"/>
        <v>1.2608824486726613E-5</v>
      </c>
    </row>
    <row r="16" spans="1:12" x14ac:dyDescent="0.3">
      <c r="A16">
        <v>420</v>
      </c>
      <c r="B16">
        <v>10.8</v>
      </c>
      <c r="C16">
        <v>34.1</v>
      </c>
      <c r="D16">
        <v>62.7</v>
      </c>
      <c r="E16">
        <f>Constantes!$B$6</f>
        <v>0.1</v>
      </c>
      <c r="F16">
        <f t="shared" si="0"/>
        <v>0.01</v>
      </c>
      <c r="G16">
        <f t="shared" si="1"/>
        <v>1.4635193133047211</v>
      </c>
      <c r="H16">
        <f t="shared" si="5"/>
        <v>3765.599999999994</v>
      </c>
      <c r="I16">
        <f t="shared" si="2"/>
        <v>26334</v>
      </c>
      <c r="J16">
        <f t="shared" si="3"/>
        <v>4.2</v>
      </c>
      <c r="K16">
        <f t="shared" si="6"/>
        <v>0.14299384825700592</v>
      </c>
      <c r="L16">
        <f t="shared" si="4"/>
        <v>2.3429796585110654E-5</v>
      </c>
    </row>
    <row r="17" spans="1:12" x14ac:dyDescent="0.3">
      <c r="A17">
        <v>450</v>
      </c>
      <c r="B17">
        <v>9.6999999999999993</v>
      </c>
      <c r="C17">
        <v>35</v>
      </c>
      <c r="D17">
        <v>62.01</v>
      </c>
      <c r="E17">
        <f>Constantes!$B$6</f>
        <v>0.1</v>
      </c>
      <c r="F17">
        <f t="shared" si="0"/>
        <v>0.01</v>
      </c>
      <c r="G17">
        <f t="shared" si="1"/>
        <v>1.383399209486166</v>
      </c>
      <c r="H17">
        <f t="shared" si="5"/>
        <v>3765.599999999994</v>
      </c>
      <c r="I17">
        <f t="shared" si="2"/>
        <v>27904.5</v>
      </c>
      <c r="J17">
        <f t="shared" si="3"/>
        <v>4.5</v>
      </c>
      <c r="K17">
        <f t="shared" si="6"/>
        <v>0.1349459764554102</v>
      </c>
      <c r="L17">
        <f t="shared" si="4"/>
        <v>2.2344315969592523E-5</v>
      </c>
    </row>
    <row r="18" spans="1:12" x14ac:dyDescent="0.3">
      <c r="A18">
        <v>480</v>
      </c>
      <c r="B18">
        <v>9.3000000000000007</v>
      </c>
      <c r="C18">
        <v>35.9</v>
      </c>
      <c r="D18">
        <v>76.2</v>
      </c>
      <c r="E18">
        <f>Constantes!$B$6</f>
        <v>0.1</v>
      </c>
      <c r="F18">
        <f t="shared" si="0"/>
        <v>0.01</v>
      </c>
      <c r="G18">
        <f t="shared" si="1"/>
        <v>1.3496240601503759</v>
      </c>
      <c r="H18">
        <f t="shared" si="5"/>
        <v>3765.599999999994</v>
      </c>
      <c r="I18">
        <f t="shared" si="2"/>
        <v>36576</v>
      </c>
      <c r="J18">
        <f t="shared" si="3"/>
        <v>4.8</v>
      </c>
      <c r="K18">
        <f t="shared" si="6"/>
        <v>0.10295275590551164</v>
      </c>
      <c r="L18">
        <f t="shared" si="4"/>
        <v>1.4053228209651118E-5</v>
      </c>
    </row>
    <row r="19" spans="1:12" x14ac:dyDescent="0.3">
      <c r="A19">
        <v>510</v>
      </c>
      <c r="B19">
        <v>9</v>
      </c>
      <c r="C19">
        <v>36.700000000000003</v>
      </c>
      <c r="D19">
        <v>78.739999999999995</v>
      </c>
      <c r="E19">
        <f>Constantes!$B$6</f>
        <v>0.1</v>
      </c>
      <c r="F19">
        <f t="shared" si="0"/>
        <v>0.01</v>
      </c>
      <c r="G19">
        <f t="shared" si="1"/>
        <v>1.3249097472924187</v>
      </c>
      <c r="H19">
        <f t="shared" si="5"/>
        <v>3347.200000000018</v>
      </c>
      <c r="I19">
        <f t="shared" si="2"/>
        <v>40157.399999999994</v>
      </c>
      <c r="J19">
        <f t="shared" si="3"/>
        <v>5.1000000000000005</v>
      </c>
      <c r="K19">
        <f t="shared" si="6"/>
        <v>8.335200984127504E-2</v>
      </c>
      <c r="L19">
        <f t="shared" si="4"/>
        <v>1.1156155542718521E-5</v>
      </c>
    </row>
    <row r="20" spans="1:12" x14ac:dyDescent="0.3">
      <c r="A20">
        <v>540</v>
      </c>
      <c r="B20">
        <v>8.4</v>
      </c>
      <c r="C20">
        <v>37.4</v>
      </c>
      <c r="D20">
        <v>75</v>
      </c>
      <c r="E20">
        <f>Constantes!$B$6</f>
        <v>0.1</v>
      </c>
      <c r="F20">
        <f t="shared" si="0"/>
        <v>0.01</v>
      </c>
      <c r="G20">
        <f t="shared" si="1"/>
        <v>1.289655172413793</v>
      </c>
      <c r="H20">
        <f t="shared" si="5"/>
        <v>2928.799999999982</v>
      </c>
      <c r="I20">
        <f t="shared" si="2"/>
        <v>40500</v>
      </c>
      <c r="J20">
        <f t="shared" si="3"/>
        <v>5.4</v>
      </c>
      <c r="K20">
        <f t="shared" si="6"/>
        <v>7.2316049382715603E-2</v>
      </c>
      <c r="L20">
        <f t="shared" si="4"/>
        <v>1.0254956139081489E-5</v>
      </c>
    </row>
    <row r="21" spans="1:12" x14ac:dyDescent="0.3">
      <c r="A21">
        <v>570</v>
      </c>
      <c r="B21">
        <v>8</v>
      </c>
      <c r="C21">
        <v>37.799999999999997</v>
      </c>
      <c r="D21">
        <v>64.400000000000006</v>
      </c>
      <c r="E21">
        <f>Constantes!$B$6</f>
        <v>0.1</v>
      </c>
      <c r="F21">
        <f t="shared" si="0"/>
        <v>0.01</v>
      </c>
      <c r="G21">
        <f t="shared" si="1"/>
        <v>1.2684563758389262</v>
      </c>
      <c r="H21">
        <f t="shared" si="5"/>
        <v>1673.599999999994</v>
      </c>
      <c r="I21">
        <f t="shared" si="2"/>
        <v>36708</v>
      </c>
      <c r="J21">
        <f t="shared" si="3"/>
        <v>5.7</v>
      </c>
      <c r="K21">
        <f t="shared" si="6"/>
        <v>4.5592241473248175E-2</v>
      </c>
      <c r="L21">
        <f t="shared" si="4"/>
        <v>8.0599284189304497E-6</v>
      </c>
    </row>
    <row r="22" spans="1:12" x14ac:dyDescent="0.3">
      <c r="A22">
        <v>600</v>
      </c>
      <c r="B22">
        <v>7.7</v>
      </c>
      <c r="C22">
        <v>38.799999999999997</v>
      </c>
      <c r="D22">
        <v>89.76</v>
      </c>
      <c r="E22">
        <f>Constantes!$B$6</f>
        <v>0.1</v>
      </c>
      <c r="F22">
        <f t="shared" si="0"/>
        <v>0.01</v>
      </c>
      <c r="G22">
        <f t="shared" si="1"/>
        <v>1.247588424437299</v>
      </c>
      <c r="H22">
        <f t="shared" si="5"/>
        <v>4184</v>
      </c>
      <c r="I22">
        <f t="shared" si="2"/>
        <v>53856</v>
      </c>
      <c r="J22">
        <f t="shared" si="3"/>
        <v>6</v>
      </c>
      <c r="K22">
        <f t="shared" si="6"/>
        <v>7.7688651218062982E-2</v>
      </c>
      <c r="L22">
        <f t="shared" si="4"/>
        <v>9.0447281096558739E-6</v>
      </c>
    </row>
    <row r="23" spans="1:12" x14ac:dyDescent="0.3">
      <c r="A23">
        <v>630</v>
      </c>
      <c r="B23">
        <v>7.3</v>
      </c>
      <c r="C23">
        <v>39.6</v>
      </c>
      <c r="D23">
        <v>90.42</v>
      </c>
      <c r="E23">
        <f>Constantes!$B$6</f>
        <v>0.1</v>
      </c>
      <c r="F23">
        <f t="shared" si="0"/>
        <v>0.01</v>
      </c>
      <c r="G23">
        <f t="shared" si="1"/>
        <v>1.2260061919504643</v>
      </c>
      <c r="H23">
        <f t="shared" si="5"/>
        <v>3347.200000000018</v>
      </c>
      <c r="I23">
        <f t="shared" si="2"/>
        <v>56964.6</v>
      </c>
      <c r="J23">
        <f t="shared" si="3"/>
        <v>6.3</v>
      </c>
      <c r="K23">
        <f t="shared" si="6"/>
        <v>5.8759299635212363E-2</v>
      </c>
      <c r="L23">
        <f t="shared" si="4"/>
        <v>6.9565579301524474E-6</v>
      </c>
    </row>
    <row r="24" spans="1:12" x14ac:dyDescent="0.3">
      <c r="A24">
        <f>A23+30</f>
        <v>660</v>
      </c>
      <c r="B24">
        <v>6.9</v>
      </c>
      <c r="C24">
        <v>40.1</v>
      </c>
      <c r="D24">
        <v>79.36</v>
      </c>
      <c r="E24">
        <f>Constantes!$B$6</f>
        <v>0.1</v>
      </c>
      <c r="F24">
        <f t="shared" si="0"/>
        <v>0.01</v>
      </c>
      <c r="G24">
        <f t="shared" si="1"/>
        <v>1.2078313253012047</v>
      </c>
      <c r="H24">
        <f t="shared" si="5"/>
        <v>2092</v>
      </c>
      <c r="I24">
        <f t="shared" si="2"/>
        <v>52377.599999999999</v>
      </c>
      <c r="J24">
        <f t="shared" si="3"/>
        <v>6.6000000000000005</v>
      </c>
      <c r="K24">
        <f t="shared" si="6"/>
        <v>3.9940738025415444E-2</v>
      </c>
      <c r="L24">
        <f t="shared" si="4"/>
        <v>5.7113763410581824E-6</v>
      </c>
    </row>
    <row r="25" spans="1:12" x14ac:dyDescent="0.3">
      <c r="A25">
        <f t="shared" ref="A25:A62" si="7">A24+30</f>
        <v>690</v>
      </c>
      <c r="B25">
        <v>6.4</v>
      </c>
      <c r="C25">
        <v>40.799999999999997</v>
      </c>
      <c r="D25">
        <v>63.25</v>
      </c>
      <c r="E25">
        <f>Constantes!$B$6</f>
        <v>0.1</v>
      </c>
      <c r="F25">
        <f t="shared" si="0"/>
        <v>0.01</v>
      </c>
      <c r="G25">
        <f t="shared" si="1"/>
        <v>1.1860465116279069</v>
      </c>
      <c r="H25">
        <f t="shared" si="5"/>
        <v>2928.799999999982</v>
      </c>
      <c r="I25">
        <f t="shared" si="2"/>
        <v>43642.5</v>
      </c>
      <c r="J25">
        <f t="shared" si="3"/>
        <v>6.9</v>
      </c>
      <c r="K25">
        <f t="shared" si="6"/>
        <v>6.7108896144812552E-2</v>
      </c>
      <c r="L25">
        <f t="shared" si="4"/>
        <v>1.1093907631292364E-5</v>
      </c>
    </row>
    <row r="26" spans="1:12" x14ac:dyDescent="0.3">
      <c r="A26">
        <f t="shared" si="7"/>
        <v>720</v>
      </c>
      <c r="B26">
        <v>6.1</v>
      </c>
      <c r="C26">
        <v>41.5</v>
      </c>
      <c r="D26">
        <v>77.47</v>
      </c>
      <c r="E26">
        <f>Constantes!$B$6</f>
        <v>0.1</v>
      </c>
      <c r="F26">
        <f t="shared" si="0"/>
        <v>0.01</v>
      </c>
      <c r="G26">
        <f t="shared" si="1"/>
        <v>1.1723163841807911</v>
      </c>
      <c r="H26">
        <f t="shared" si="5"/>
        <v>2928.800000000012</v>
      </c>
      <c r="I26">
        <f t="shared" si="2"/>
        <v>55778.400000000001</v>
      </c>
      <c r="J26">
        <f t="shared" si="3"/>
        <v>7.2</v>
      </c>
      <c r="K26">
        <f t="shared" si="6"/>
        <v>5.2507780789696583E-2</v>
      </c>
      <c r="L26">
        <f t="shared" si="4"/>
        <v>7.2365175398947644E-6</v>
      </c>
    </row>
    <row r="27" spans="1:12" x14ac:dyDescent="0.3">
      <c r="A27">
        <f t="shared" si="7"/>
        <v>750</v>
      </c>
      <c r="B27">
        <v>5.9</v>
      </c>
      <c r="C27">
        <v>42.1</v>
      </c>
      <c r="D27">
        <v>77.47</v>
      </c>
      <c r="E27">
        <f>Constantes!$B$6</f>
        <v>0.1</v>
      </c>
      <c r="F27">
        <f t="shared" si="0"/>
        <v>0.01</v>
      </c>
      <c r="G27">
        <f t="shared" si="1"/>
        <v>1.1629834254143645</v>
      </c>
      <c r="H27">
        <f t="shared" si="5"/>
        <v>2510.400000000006</v>
      </c>
      <c r="I27">
        <f t="shared" si="2"/>
        <v>58102.5</v>
      </c>
      <c r="J27">
        <f t="shared" si="3"/>
        <v>7.5</v>
      </c>
      <c r="K27">
        <f t="shared" si="6"/>
        <v>4.3206402478378828E-2</v>
      </c>
      <c r="L27">
        <f t="shared" si="4"/>
        <v>6.0851677177069636E-6</v>
      </c>
    </row>
    <row r="28" spans="1:12" x14ac:dyDescent="0.3">
      <c r="A28">
        <f t="shared" si="7"/>
        <v>780</v>
      </c>
      <c r="B28">
        <v>5.7</v>
      </c>
      <c r="C28">
        <v>42.6</v>
      </c>
      <c r="D28">
        <v>76.86</v>
      </c>
      <c r="E28">
        <f>Constantes!$B$6</f>
        <v>0.1</v>
      </c>
      <c r="F28">
        <f t="shared" si="0"/>
        <v>0.01</v>
      </c>
      <c r="G28">
        <f t="shared" si="1"/>
        <v>1.1544715447154472</v>
      </c>
      <c r="H28">
        <f t="shared" si="5"/>
        <v>2092</v>
      </c>
      <c r="I28">
        <f t="shared" si="2"/>
        <v>59950.8</v>
      </c>
      <c r="J28">
        <f t="shared" si="3"/>
        <v>7.8</v>
      </c>
      <c r="K28">
        <f t="shared" si="6"/>
        <v>3.4895280796920142E-2</v>
      </c>
      <c r="L28">
        <f t="shared" si="4"/>
        <v>5.116372854742774E-6</v>
      </c>
    </row>
    <row r="29" spans="1:12" x14ac:dyDescent="0.3">
      <c r="A29">
        <f t="shared" si="7"/>
        <v>810</v>
      </c>
      <c r="B29">
        <v>5.2</v>
      </c>
      <c r="C29">
        <v>43.3</v>
      </c>
      <c r="D29">
        <v>77.47</v>
      </c>
      <c r="E29">
        <f>Constantes!$B$6</f>
        <v>0.1</v>
      </c>
      <c r="F29">
        <f t="shared" si="0"/>
        <v>0.01</v>
      </c>
      <c r="G29">
        <f t="shared" si="1"/>
        <v>1.136482939632546</v>
      </c>
      <c r="H29">
        <f t="shared" si="5"/>
        <v>2928.799999999982</v>
      </c>
      <c r="I29">
        <f t="shared" si="2"/>
        <v>62750.7</v>
      </c>
      <c r="J29">
        <f t="shared" si="3"/>
        <v>8.1</v>
      </c>
      <c r="K29">
        <f t="shared" si="6"/>
        <v>4.6673582924174263E-2</v>
      </c>
      <c r="L29">
        <f t="shared" si="4"/>
        <v>6.4324600354619555E-6</v>
      </c>
    </row>
    <row r="30" spans="1:12" x14ac:dyDescent="0.3">
      <c r="A30">
        <f t="shared" si="7"/>
        <v>840</v>
      </c>
      <c r="B30">
        <v>5</v>
      </c>
      <c r="C30">
        <v>43.7</v>
      </c>
      <c r="D30">
        <v>77.47</v>
      </c>
      <c r="E30">
        <f>Constantes!$B$6</f>
        <v>0.1</v>
      </c>
      <c r="F30">
        <f t="shared" si="0"/>
        <v>0.01</v>
      </c>
      <c r="G30">
        <f t="shared" si="1"/>
        <v>1.1291989664082687</v>
      </c>
      <c r="H30">
        <f t="shared" si="5"/>
        <v>1673.6000000000238</v>
      </c>
      <c r="I30">
        <f t="shared" si="2"/>
        <v>65074.799999999996</v>
      </c>
      <c r="J30">
        <f t="shared" si="3"/>
        <v>8.4</v>
      </c>
      <c r="K30">
        <f t="shared" si="6"/>
        <v>2.5718096713321037E-2</v>
      </c>
      <c r="L30">
        <f t="shared" si="4"/>
        <v>3.9678188204237439E-6</v>
      </c>
    </row>
    <row r="31" spans="1:12" x14ac:dyDescent="0.3">
      <c r="A31">
        <f t="shared" si="7"/>
        <v>870</v>
      </c>
      <c r="B31">
        <v>4.7</v>
      </c>
      <c r="C31">
        <v>44.1</v>
      </c>
      <c r="D31">
        <v>76.86</v>
      </c>
      <c r="E31">
        <f>Constantes!$B$6</f>
        <v>0.1</v>
      </c>
      <c r="F31">
        <f t="shared" si="0"/>
        <v>0.01</v>
      </c>
      <c r="G31">
        <f t="shared" si="1"/>
        <v>1.1192893401015229</v>
      </c>
      <c r="H31">
        <f t="shared" si="5"/>
        <v>1673.599999999994</v>
      </c>
      <c r="I31">
        <f t="shared" si="2"/>
        <v>66868.2</v>
      </c>
      <c r="J31">
        <f t="shared" si="3"/>
        <v>8.7000000000000011</v>
      </c>
      <c r="K31">
        <f t="shared" si="6"/>
        <v>2.5028339330204701E-2</v>
      </c>
      <c r="L31">
        <f t="shared" si="4"/>
        <v>3.8828802910653447E-6</v>
      </c>
    </row>
    <row r="32" spans="1:12" x14ac:dyDescent="0.3">
      <c r="A32">
        <f t="shared" si="7"/>
        <v>900</v>
      </c>
      <c r="B32">
        <v>4.5</v>
      </c>
      <c r="C32">
        <v>44.8</v>
      </c>
      <c r="D32">
        <v>64.959999999999994</v>
      </c>
      <c r="E32">
        <f>Constantes!$B$6</f>
        <v>0.1</v>
      </c>
      <c r="F32">
        <f t="shared" si="0"/>
        <v>0.01</v>
      </c>
      <c r="G32">
        <f t="shared" si="1"/>
        <v>1.1116625310173698</v>
      </c>
      <c r="H32">
        <f t="shared" si="5"/>
        <v>2928.799999999982</v>
      </c>
      <c r="I32">
        <f t="shared" si="2"/>
        <v>58463.999999999993</v>
      </c>
      <c r="J32">
        <f t="shared" si="3"/>
        <v>9</v>
      </c>
      <c r="K32">
        <f t="shared" si="6"/>
        <v>5.0095785440612724E-2</v>
      </c>
      <c r="L32">
        <f t="shared" si="4"/>
        <v>8.0822649739489136E-6</v>
      </c>
    </row>
    <row r="33" spans="1:12" x14ac:dyDescent="0.3">
      <c r="A33">
        <f t="shared" si="7"/>
        <v>930</v>
      </c>
      <c r="B33">
        <v>4.3</v>
      </c>
      <c r="C33">
        <v>45.3</v>
      </c>
      <c r="D33">
        <v>78.08</v>
      </c>
      <c r="E33">
        <f>Constantes!$B$6</f>
        <v>0.1</v>
      </c>
      <c r="F33">
        <f t="shared" si="0"/>
        <v>0.01</v>
      </c>
      <c r="G33">
        <f t="shared" si="1"/>
        <v>1.1048780487804877</v>
      </c>
      <c r="H33">
        <f t="shared" si="5"/>
        <v>2092</v>
      </c>
      <c r="I33">
        <f t="shared" si="2"/>
        <v>72614.399999999994</v>
      </c>
      <c r="J33">
        <f t="shared" si="3"/>
        <v>9.3000000000000007</v>
      </c>
      <c r="K33">
        <f t="shared" si="6"/>
        <v>2.8809712674070159E-2</v>
      </c>
      <c r="L33">
        <f t="shared" si="4"/>
        <v>4.1722183760734117E-6</v>
      </c>
    </row>
    <row r="34" spans="1:12" x14ac:dyDescent="0.3">
      <c r="A34">
        <f t="shared" si="7"/>
        <v>960</v>
      </c>
      <c r="B34">
        <v>4.0999999999999996</v>
      </c>
      <c r="C34">
        <v>45.9</v>
      </c>
      <c r="D34">
        <v>70.760000000000005</v>
      </c>
      <c r="E34">
        <f>Constantes!$B$6</f>
        <v>0.1</v>
      </c>
      <c r="F34">
        <f t="shared" si="0"/>
        <v>0.01</v>
      </c>
      <c r="G34">
        <f t="shared" si="1"/>
        <v>1.098086124401914</v>
      </c>
      <c r="H34">
        <f t="shared" si="5"/>
        <v>2510.400000000006</v>
      </c>
      <c r="I34">
        <f t="shared" si="2"/>
        <v>67929.600000000006</v>
      </c>
      <c r="J34">
        <f t="shared" si="3"/>
        <v>9.6</v>
      </c>
      <c r="K34">
        <f t="shared" si="6"/>
        <v>3.6955907292255598E-2</v>
      </c>
      <c r="L34">
        <f t="shared" si="4"/>
        <v>5.6223612252011364E-6</v>
      </c>
    </row>
    <row r="35" spans="1:12" x14ac:dyDescent="0.3">
      <c r="A35">
        <f t="shared" si="7"/>
        <v>990</v>
      </c>
      <c r="B35">
        <v>3.8</v>
      </c>
      <c r="C35">
        <v>46.1</v>
      </c>
      <c r="D35">
        <v>76.2</v>
      </c>
      <c r="E35">
        <f>Constantes!$B$6</f>
        <v>0.1</v>
      </c>
      <c r="F35">
        <f t="shared" si="0"/>
        <v>0.01</v>
      </c>
      <c r="G35">
        <f t="shared" si="1"/>
        <v>1.0898345153664302</v>
      </c>
      <c r="H35">
        <f t="shared" si="5"/>
        <v>836.80000000001189</v>
      </c>
      <c r="I35">
        <f t="shared" si="2"/>
        <v>75438</v>
      </c>
      <c r="J35">
        <f t="shared" si="3"/>
        <v>9.9</v>
      </c>
      <c r="K35">
        <f t="shared" si="6"/>
        <v>1.1092552824836448E-2</v>
      </c>
      <c r="L35">
        <f t="shared" si="4"/>
        <v>2.3734985859688736E-6</v>
      </c>
    </row>
    <row r="36" spans="1:12" x14ac:dyDescent="0.3">
      <c r="A36">
        <f t="shared" si="7"/>
        <v>1020</v>
      </c>
      <c r="B36">
        <v>3.6</v>
      </c>
      <c r="C36">
        <v>46.8</v>
      </c>
      <c r="D36">
        <v>75.400000000000006</v>
      </c>
      <c r="E36">
        <f>Constantes!$B$6</f>
        <v>0.1</v>
      </c>
      <c r="F36">
        <f t="shared" si="0"/>
        <v>0.01</v>
      </c>
      <c r="G36">
        <f t="shared" si="1"/>
        <v>1.0833333333333335</v>
      </c>
      <c r="H36">
        <f t="shared" si="5"/>
        <v>2928.799999999982</v>
      </c>
      <c r="I36">
        <f t="shared" si="2"/>
        <v>76908</v>
      </c>
      <c r="J36">
        <f t="shared" si="3"/>
        <v>10.200000000000001</v>
      </c>
      <c r="K36">
        <f t="shared" si="6"/>
        <v>3.8081864045352652E-2</v>
      </c>
      <c r="L36">
        <f t="shared" si="4"/>
        <v>5.3749736059081524E-6</v>
      </c>
    </row>
    <row r="37" spans="1:12" x14ac:dyDescent="0.3">
      <c r="A37">
        <f t="shared" si="7"/>
        <v>1050</v>
      </c>
      <c r="B37">
        <v>3.5</v>
      </c>
      <c r="C37">
        <v>47.1</v>
      </c>
      <c r="D37">
        <v>76.86</v>
      </c>
      <c r="E37">
        <f>Constantes!$B$6</f>
        <v>0.1</v>
      </c>
      <c r="F37">
        <f t="shared" si="0"/>
        <v>0.01</v>
      </c>
      <c r="G37">
        <f t="shared" si="1"/>
        <v>1.0802752293577982</v>
      </c>
      <c r="H37">
        <f t="shared" si="5"/>
        <v>1255.2000000000178</v>
      </c>
      <c r="I37">
        <f t="shared" si="2"/>
        <v>80703</v>
      </c>
      <c r="J37">
        <f t="shared" si="3"/>
        <v>10.5</v>
      </c>
      <c r="K37">
        <f t="shared" si="6"/>
        <v>1.5553325155198913E-2</v>
      </c>
      <c r="L37">
        <f t="shared" si="4"/>
        <v>2.6768856343755189E-6</v>
      </c>
    </row>
    <row r="38" spans="1:12" x14ac:dyDescent="0.3">
      <c r="A38">
        <f t="shared" si="7"/>
        <v>1080</v>
      </c>
      <c r="B38">
        <v>3.3</v>
      </c>
      <c r="C38">
        <v>47.5</v>
      </c>
      <c r="D38">
        <v>78.08</v>
      </c>
      <c r="E38">
        <f>Constantes!$B$6</f>
        <v>0.1</v>
      </c>
      <c r="F38">
        <f t="shared" si="0"/>
        <v>0.01</v>
      </c>
      <c r="G38">
        <f t="shared" si="1"/>
        <v>1.0746606334841629</v>
      </c>
      <c r="H38">
        <f t="shared" si="5"/>
        <v>1673.599999999994</v>
      </c>
      <c r="I38">
        <f t="shared" si="2"/>
        <v>84326.399999999994</v>
      </c>
      <c r="J38">
        <f t="shared" si="3"/>
        <v>10.8</v>
      </c>
      <c r="K38">
        <f t="shared" si="6"/>
        <v>1.9846690953248262E-2</v>
      </c>
      <c r="L38">
        <f t="shared" si="4"/>
        <v>3.0452455290509575E-6</v>
      </c>
    </row>
    <row r="39" spans="1:12" x14ac:dyDescent="0.3">
      <c r="A39">
        <f t="shared" si="7"/>
        <v>1110</v>
      </c>
      <c r="B39">
        <v>3.1</v>
      </c>
      <c r="C39">
        <v>47.9</v>
      </c>
      <c r="D39">
        <v>78.08</v>
      </c>
      <c r="E39">
        <f>Constantes!$B$6</f>
        <v>0.1</v>
      </c>
      <c r="F39">
        <f t="shared" si="0"/>
        <v>0.01</v>
      </c>
      <c r="G39">
        <f t="shared" si="1"/>
        <v>1.0691964285714286</v>
      </c>
      <c r="H39">
        <f t="shared" si="5"/>
        <v>1673.599999999994</v>
      </c>
      <c r="I39">
        <f t="shared" si="2"/>
        <v>86668.800000000003</v>
      </c>
      <c r="J39">
        <f t="shared" si="3"/>
        <v>11.1</v>
      </c>
      <c r="K39">
        <f t="shared" si="6"/>
        <v>1.9310293900457767E-2</v>
      </c>
      <c r="L39">
        <f t="shared" si="4"/>
        <v>2.9629415958333634E-6</v>
      </c>
    </row>
    <row r="40" spans="1:12" x14ac:dyDescent="0.3">
      <c r="A40">
        <f t="shared" si="7"/>
        <v>1140</v>
      </c>
      <c r="B40">
        <v>3</v>
      </c>
      <c r="C40">
        <v>48.2</v>
      </c>
      <c r="D40">
        <v>78.08</v>
      </c>
      <c r="E40">
        <f>Constantes!$B$6</f>
        <v>0.1</v>
      </c>
      <c r="F40">
        <f t="shared" si="0"/>
        <v>0.01</v>
      </c>
      <c r="G40">
        <f t="shared" si="1"/>
        <v>1.0663716814159292</v>
      </c>
      <c r="H40">
        <f t="shared" si="5"/>
        <v>1255.2000000000178</v>
      </c>
      <c r="I40">
        <f t="shared" si="2"/>
        <v>89011.199999999997</v>
      </c>
      <c r="J40">
        <f t="shared" si="3"/>
        <v>11.4</v>
      </c>
      <c r="K40">
        <f t="shared" si="6"/>
        <v>1.4101596203624014E-2</v>
      </c>
      <c r="L40">
        <f t="shared" si="4"/>
        <v>2.4054304050070274E-6</v>
      </c>
    </row>
    <row r="41" spans="1:12" x14ac:dyDescent="0.3">
      <c r="A41">
        <f t="shared" si="7"/>
        <v>1170</v>
      </c>
      <c r="B41">
        <v>2.9</v>
      </c>
      <c r="C41">
        <v>48.7</v>
      </c>
      <c r="D41">
        <v>76.8</v>
      </c>
      <c r="E41">
        <f>Constantes!$B$6</f>
        <v>0.1</v>
      </c>
      <c r="F41">
        <f t="shared" si="0"/>
        <v>0.01</v>
      </c>
      <c r="G41">
        <f t="shared" si="1"/>
        <v>1.0633187772925763</v>
      </c>
      <c r="H41">
        <f t="shared" si="5"/>
        <v>2092</v>
      </c>
      <c r="I41">
        <f t="shared" si="2"/>
        <v>89856</v>
      </c>
      <c r="J41">
        <f t="shared" si="3"/>
        <v>11.700000000000001</v>
      </c>
      <c r="K41">
        <f t="shared" si="6"/>
        <v>2.3281695156695158E-2</v>
      </c>
      <c r="L41">
        <f t="shared" si="4"/>
        <v>3.4156801355136948E-6</v>
      </c>
    </row>
    <row r="42" spans="1:12" x14ac:dyDescent="0.3">
      <c r="A42">
        <f t="shared" si="7"/>
        <v>1200</v>
      </c>
      <c r="B42">
        <v>2.7</v>
      </c>
      <c r="C42">
        <v>48.8</v>
      </c>
      <c r="D42">
        <v>77.47</v>
      </c>
      <c r="E42">
        <f>Constantes!$B$6</f>
        <v>0.1</v>
      </c>
      <c r="F42">
        <f t="shared" si="0"/>
        <v>0.01</v>
      </c>
      <c r="G42">
        <f t="shared" si="1"/>
        <v>1.0585683297180044</v>
      </c>
      <c r="H42">
        <f t="shared" si="5"/>
        <v>418.39999999997622</v>
      </c>
      <c r="I42">
        <f t="shared" si="2"/>
        <v>92964</v>
      </c>
      <c r="J42">
        <f t="shared" si="3"/>
        <v>12</v>
      </c>
      <c r="K42">
        <f t="shared" si="6"/>
        <v>4.5006669248308616E-3</v>
      </c>
      <c r="L42">
        <f t="shared" si="4"/>
        <v>1.6284063808640721E-6</v>
      </c>
    </row>
    <row r="43" spans="1:12" x14ac:dyDescent="0.3">
      <c r="A43">
        <f t="shared" si="7"/>
        <v>1230</v>
      </c>
      <c r="B43">
        <v>2.6</v>
      </c>
      <c r="C43">
        <v>49.4</v>
      </c>
      <c r="D43">
        <v>77.47</v>
      </c>
      <c r="E43">
        <f>Constantes!$B$6</f>
        <v>0.1</v>
      </c>
      <c r="F43">
        <f t="shared" si="0"/>
        <v>0.01</v>
      </c>
      <c r="G43">
        <f t="shared" si="1"/>
        <v>1.0555555555555556</v>
      </c>
      <c r="H43">
        <f t="shared" si="5"/>
        <v>2510.400000000006</v>
      </c>
      <c r="I43">
        <f t="shared" si="2"/>
        <v>95288.1</v>
      </c>
      <c r="J43">
        <f t="shared" si="3"/>
        <v>12.3</v>
      </c>
      <c r="K43">
        <f t="shared" si="6"/>
        <v>2.634536736486514E-2</v>
      </c>
      <c r="L43">
        <f t="shared" si="4"/>
        <v>3.7104681205530264E-6</v>
      </c>
    </row>
    <row r="44" spans="1:12" x14ac:dyDescent="0.3">
      <c r="A44">
        <f t="shared" si="7"/>
        <v>1260</v>
      </c>
      <c r="B44">
        <v>2.5</v>
      </c>
      <c r="C44">
        <v>49.7</v>
      </c>
      <c r="D44">
        <v>77.47</v>
      </c>
      <c r="E44">
        <f>Constantes!$B$6</f>
        <v>0.1</v>
      </c>
      <c r="F44">
        <f t="shared" si="0"/>
        <v>0.01</v>
      </c>
      <c r="G44">
        <f t="shared" si="1"/>
        <v>1.0529661016949152</v>
      </c>
      <c r="H44">
        <f t="shared" si="5"/>
        <v>1255.2000000000178</v>
      </c>
      <c r="I44">
        <f t="shared" si="2"/>
        <v>97612.2</v>
      </c>
      <c r="J44">
        <f t="shared" si="3"/>
        <v>12.6</v>
      </c>
      <c r="K44">
        <f t="shared" si="6"/>
        <v>1.2859048356660518E-2</v>
      </c>
      <c r="L44">
        <f t="shared" si="4"/>
        <v>2.2032314515355109E-6</v>
      </c>
    </row>
    <row r="45" spans="1:12" x14ac:dyDescent="0.3">
      <c r="A45">
        <f t="shared" si="7"/>
        <v>1290</v>
      </c>
      <c r="B45">
        <v>2.4</v>
      </c>
      <c r="C45">
        <v>49.9</v>
      </c>
      <c r="D45">
        <v>77.47</v>
      </c>
      <c r="E45">
        <f>Constantes!$B$6</f>
        <v>0.1</v>
      </c>
      <c r="F45">
        <f t="shared" si="0"/>
        <v>0.01</v>
      </c>
      <c r="G45">
        <f t="shared" si="1"/>
        <v>1.0505263157894738</v>
      </c>
      <c r="H45">
        <f t="shared" si="5"/>
        <v>836.79999999998222</v>
      </c>
      <c r="I45">
        <f t="shared" si="2"/>
        <v>99936.3</v>
      </c>
      <c r="J45">
        <f t="shared" si="3"/>
        <v>12.9</v>
      </c>
      <c r="K45">
        <f t="shared" si="6"/>
        <v>8.3733338136391094E-3</v>
      </c>
      <c r="L45">
        <f t="shared" si="4"/>
        <v>1.7806695515250047E-6</v>
      </c>
    </row>
    <row r="46" spans="1:12" x14ac:dyDescent="0.3">
      <c r="A46">
        <f t="shared" si="7"/>
        <v>1320</v>
      </c>
      <c r="B46">
        <v>2.2999999999999998</v>
      </c>
      <c r="C46">
        <v>50.2</v>
      </c>
      <c r="D46">
        <v>77.47</v>
      </c>
      <c r="E46">
        <f>Constantes!$B$6</f>
        <v>0.1</v>
      </c>
      <c r="F46">
        <f t="shared" si="0"/>
        <v>0.01</v>
      </c>
      <c r="G46">
        <f t="shared" si="1"/>
        <v>1.0480167014613777</v>
      </c>
      <c r="H46">
        <f t="shared" si="5"/>
        <v>1255.2000000000178</v>
      </c>
      <c r="I46">
        <f t="shared" si="2"/>
        <v>102260.4</v>
      </c>
      <c r="J46">
        <f t="shared" si="3"/>
        <v>13.200000000000001</v>
      </c>
      <c r="K46">
        <f t="shared" si="6"/>
        <v>1.2274546158630495E-2</v>
      </c>
      <c r="L46">
        <f t="shared" si="4"/>
        <v>2.1030845673748064E-6</v>
      </c>
    </row>
    <row r="47" spans="1:12" x14ac:dyDescent="0.3">
      <c r="A47">
        <f t="shared" si="7"/>
        <v>1350</v>
      </c>
      <c r="B47">
        <v>2.2000000000000002</v>
      </c>
      <c r="C47">
        <v>50.7</v>
      </c>
      <c r="D47">
        <v>77.47</v>
      </c>
      <c r="E47">
        <f>Constantes!$B$6</f>
        <v>0.1</v>
      </c>
      <c r="F47">
        <f t="shared" si="0"/>
        <v>0.01</v>
      </c>
      <c r="G47">
        <f t="shared" si="1"/>
        <v>1.0453608247422681</v>
      </c>
      <c r="H47">
        <f t="shared" si="5"/>
        <v>2092</v>
      </c>
      <c r="I47">
        <f t="shared" si="2"/>
        <v>104584.5</v>
      </c>
      <c r="J47">
        <f t="shared" si="3"/>
        <v>13.5</v>
      </c>
      <c r="K47">
        <f t="shared" si="6"/>
        <v>2.0002964110360521E-2</v>
      </c>
      <c r="L47">
        <f t="shared" si="4"/>
        <v>2.914681057137216E-6</v>
      </c>
    </row>
    <row r="48" spans="1:12" x14ac:dyDescent="0.3">
      <c r="A48">
        <f t="shared" si="7"/>
        <v>1380</v>
      </c>
      <c r="B48">
        <v>2.1</v>
      </c>
      <c r="C48">
        <v>50.9</v>
      </c>
      <c r="D48">
        <v>63.8</v>
      </c>
      <c r="E48">
        <f>Constantes!$B$6</f>
        <v>0.1</v>
      </c>
      <c r="F48">
        <f t="shared" si="0"/>
        <v>0.01</v>
      </c>
      <c r="G48">
        <f t="shared" si="1"/>
        <v>1.043032786885246</v>
      </c>
      <c r="H48">
        <f t="shared" si="5"/>
        <v>836.79999999998222</v>
      </c>
      <c r="I48">
        <f t="shared" si="2"/>
        <v>88044</v>
      </c>
      <c r="J48">
        <f t="shared" si="3"/>
        <v>13.8</v>
      </c>
      <c r="K48">
        <f t="shared" si="6"/>
        <v>9.5043387397208464E-3</v>
      </c>
      <c r="L48">
        <f t="shared" si="4"/>
        <v>2.1907292480327216E-6</v>
      </c>
    </row>
    <row r="49" spans="1:12" x14ac:dyDescent="0.3">
      <c r="A49">
        <f t="shared" si="7"/>
        <v>1410</v>
      </c>
      <c r="B49">
        <v>2</v>
      </c>
      <c r="C49">
        <v>50.9</v>
      </c>
      <c r="D49">
        <v>63.8</v>
      </c>
      <c r="E49">
        <f>Constantes!$B$6</f>
        <v>0.1</v>
      </c>
      <c r="F49">
        <f t="shared" si="0"/>
        <v>0.01</v>
      </c>
      <c r="G49">
        <f t="shared" si="1"/>
        <v>1.0408997955010224</v>
      </c>
      <c r="H49">
        <f t="shared" si="5"/>
        <v>0</v>
      </c>
      <c r="I49">
        <f t="shared" si="2"/>
        <v>89958</v>
      </c>
      <c r="J49">
        <f t="shared" si="3"/>
        <v>14.1</v>
      </c>
      <c r="K49">
        <f t="shared" si="6"/>
        <v>0</v>
      </c>
      <c r="L49">
        <f t="shared" si="4"/>
        <v>1.5720820409225364E-6</v>
      </c>
    </row>
    <row r="50" spans="1:12" x14ac:dyDescent="0.3">
      <c r="A50">
        <f t="shared" si="7"/>
        <v>1440</v>
      </c>
      <c r="B50">
        <v>2</v>
      </c>
      <c r="C50">
        <v>51.3</v>
      </c>
      <c r="D50">
        <v>77.47</v>
      </c>
      <c r="E50">
        <f>Constantes!$B$6</f>
        <v>0.1</v>
      </c>
      <c r="F50">
        <f t="shared" si="0"/>
        <v>0.01</v>
      </c>
      <c r="G50">
        <f t="shared" si="1"/>
        <v>1.0405679513184585</v>
      </c>
      <c r="H50">
        <f t="shared" si="5"/>
        <v>1673.599999999994</v>
      </c>
      <c r="I50">
        <f t="shared" si="2"/>
        <v>111556.8</v>
      </c>
      <c r="J50">
        <f t="shared" si="3"/>
        <v>14.4</v>
      </c>
      <c r="K50">
        <f t="shared" si="6"/>
        <v>1.5002223082770338E-2</v>
      </c>
      <c r="L50">
        <f t="shared" si="4"/>
        <v>2.3145609785804881E-6</v>
      </c>
    </row>
    <row r="51" spans="1:12" x14ac:dyDescent="0.3">
      <c r="A51">
        <f t="shared" si="7"/>
        <v>1470</v>
      </c>
      <c r="B51">
        <v>1.8</v>
      </c>
      <c r="C51">
        <v>51.5</v>
      </c>
      <c r="D51">
        <v>91.08</v>
      </c>
      <c r="E51">
        <f>Constantes!$B$6</f>
        <v>0.1</v>
      </c>
      <c r="F51">
        <f t="shared" si="0"/>
        <v>0.01</v>
      </c>
      <c r="G51">
        <f t="shared" si="1"/>
        <v>1.0362173038229376</v>
      </c>
      <c r="H51">
        <f t="shared" si="5"/>
        <v>836.80000000001189</v>
      </c>
      <c r="I51">
        <f t="shared" si="2"/>
        <v>133887.6</v>
      </c>
      <c r="J51">
        <f t="shared" si="3"/>
        <v>14.700000000000001</v>
      </c>
      <c r="K51">
        <f t="shared" si="6"/>
        <v>6.2500186723790097E-3</v>
      </c>
      <c r="L51">
        <f t="shared" si="4"/>
        <v>1.2595997879681298E-6</v>
      </c>
    </row>
    <row r="52" spans="1:12" x14ac:dyDescent="0.3">
      <c r="A52">
        <f t="shared" si="7"/>
        <v>1500</v>
      </c>
      <c r="B52">
        <v>1.8</v>
      </c>
      <c r="C52">
        <v>51.7</v>
      </c>
      <c r="D52">
        <v>77.47</v>
      </c>
      <c r="E52">
        <f>Constantes!$B$6</f>
        <v>0.1</v>
      </c>
      <c r="F52">
        <f t="shared" si="0"/>
        <v>0.01</v>
      </c>
      <c r="G52">
        <f t="shared" si="1"/>
        <v>1.0360721442885772</v>
      </c>
      <c r="H52">
        <f t="shared" si="5"/>
        <v>836.80000000001189</v>
      </c>
      <c r="I52">
        <f t="shared" si="2"/>
        <v>116205</v>
      </c>
      <c r="J52">
        <f t="shared" si="3"/>
        <v>15</v>
      </c>
      <c r="K52">
        <f t="shared" si="6"/>
        <v>7.2010670797298905E-3</v>
      </c>
      <c r="L52">
        <f t="shared" si="4"/>
        <v>1.5313758143115239E-6</v>
      </c>
    </row>
    <row r="53" spans="1:12" x14ac:dyDescent="0.3">
      <c r="A53">
        <f t="shared" si="7"/>
        <v>1530</v>
      </c>
      <c r="B53">
        <v>1.7</v>
      </c>
      <c r="C53">
        <v>52.1</v>
      </c>
      <c r="D53">
        <v>77.47</v>
      </c>
      <c r="E53">
        <f>Constantes!$B$6</f>
        <v>0.1</v>
      </c>
      <c r="F53">
        <f t="shared" si="0"/>
        <v>0.01</v>
      </c>
      <c r="G53">
        <f t="shared" si="1"/>
        <v>1.0337301587301588</v>
      </c>
      <c r="H53">
        <f t="shared" si="5"/>
        <v>1673.599999999994</v>
      </c>
      <c r="I53">
        <f t="shared" si="2"/>
        <v>118529.09999999999</v>
      </c>
      <c r="J53">
        <f t="shared" si="3"/>
        <v>15.3</v>
      </c>
      <c r="K53">
        <f t="shared" si="6"/>
        <v>1.4119739372019142E-2</v>
      </c>
      <c r="L53">
        <f t="shared" si="4"/>
        <v>2.178410332781636E-6</v>
      </c>
    </row>
    <row r="54" spans="1:12" x14ac:dyDescent="0.3">
      <c r="A54">
        <f t="shared" si="7"/>
        <v>1560</v>
      </c>
      <c r="B54">
        <v>1.7</v>
      </c>
      <c r="C54">
        <v>52.2</v>
      </c>
      <c r="D54">
        <v>78.69</v>
      </c>
      <c r="E54">
        <f>Constantes!$B$6</f>
        <v>0.1</v>
      </c>
      <c r="F54">
        <f t="shared" si="0"/>
        <v>0.01</v>
      </c>
      <c r="G54">
        <f t="shared" si="1"/>
        <v>1.0336633663366337</v>
      </c>
      <c r="H54">
        <f t="shared" si="5"/>
        <v>418.40000000000595</v>
      </c>
      <c r="I54">
        <f t="shared" si="2"/>
        <v>122756.4</v>
      </c>
      <c r="J54">
        <f t="shared" si="3"/>
        <v>15.6</v>
      </c>
      <c r="K54">
        <f t="shared" si="6"/>
        <v>3.4083762638852716E-3</v>
      </c>
      <c r="L54">
        <f t="shared" si="4"/>
        <v>1.2307827999298538E-6</v>
      </c>
    </row>
    <row r="55" spans="1:12" x14ac:dyDescent="0.3">
      <c r="A55">
        <f t="shared" si="7"/>
        <v>1590</v>
      </c>
      <c r="B55">
        <v>1.7</v>
      </c>
      <c r="C55">
        <v>52.5</v>
      </c>
      <c r="D55">
        <v>79.36</v>
      </c>
      <c r="E55">
        <f>Constantes!$B$6</f>
        <v>0.1</v>
      </c>
      <c r="F55">
        <f t="shared" si="0"/>
        <v>0.01</v>
      </c>
      <c r="G55">
        <f t="shared" si="1"/>
        <v>1.033464566929134</v>
      </c>
      <c r="H55">
        <f t="shared" si="5"/>
        <v>1255.199999999988</v>
      </c>
      <c r="I55">
        <f t="shared" si="2"/>
        <v>126182.39999999999</v>
      </c>
      <c r="J55">
        <f t="shared" si="3"/>
        <v>15.9</v>
      </c>
      <c r="K55">
        <f t="shared" si="6"/>
        <v>9.9475045648203565E-3</v>
      </c>
      <c r="L55">
        <f t="shared" si="4"/>
        <v>1.681457777952886E-6</v>
      </c>
    </row>
    <row r="56" spans="1:12" x14ac:dyDescent="0.3">
      <c r="A56">
        <f t="shared" si="7"/>
        <v>1620</v>
      </c>
      <c r="B56">
        <v>1.6</v>
      </c>
      <c r="C56">
        <v>52.9</v>
      </c>
      <c r="D56">
        <v>78.08</v>
      </c>
      <c r="E56">
        <f>Constantes!$B$6</f>
        <v>0.1</v>
      </c>
      <c r="F56">
        <f t="shared" si="0"/>
        <v>0.01</v>
      </c>
      <c r="G56">
        <f t="shared" si="1"/>
        <v>1.0311890838206628</v>
      </c>
      <c r="H56">
        <f t="shared" si="5"/>
        <v>1673.599999999994</v>
      </c>
      <c r="I56">
        <f t="shared" si="2"/>
        <v>126489.59999999999</v>
      </c>
      <c r="J56">
        <f t="shared" si="3"/>
        <v>16.2</v>
      </c>
      <c r="K56">
        <f t="shared" si="6"/>
        <v>1.3231127302165507E-2</v>
      </c>
      <c r="L56">
        <f t="shared" si="4"/>
        <v>2.0301636860339714E-6</v>
      </c>
    </row>
    <row r="57" spans="1:12" x14ac:dyDescent="0.3">
      <c r="A57">
        <f t="shared" si="7"/>
        <v>1650</v>
      </c>
      <c r="B57">
        <v>1.6</v>
      </c>
      <c r="C57">
        <v>52.8</v>
      </c>
      <c r="D57">
        <v>77.47</v>
      </c>
      <c r="E57">
        <f>Constantes!$B$6</f>
        <v>0.1</v>
      </c>
      <c r="F57">
        <f t="shared" si="0"/>
        <v>0.01</v>
      </c>
      <c r="G57">
        <f t="shared" si="1"/>
        <v>1.03125</v>
      </c>
      <c r="H57">
        <f t="shared" si="5"/>
        <v>-418.40000000000595</v>
      </c>
      <c r="I57">
        <f t="shared" si="2"/>
        <v>127825.5</v>
      </c>
      <c r="J57">
        <f t="shared" si="3"/>
        <v>16.5</v>
      </c>
      <c r="K57">
        <f t="shared" si="6"/>
        <v>3.2732123089681321E-3</v>
      </c>
      <c r="L57">
        <f t="shared" si="4"/>
        <v>1.1842955497193358E-6</v>
      </c>
    </row>
    <row r="58" spans="1:12" x14ac:dyDescent="0.3">
      <c r="A58">
        <f t="shared" si="7"/>
        <v>1680</v>
      </c>
      <c r="B58">
        <v>1.5</v>
      </c>
      <c r="C58">
        <v>53.1</v>
      </c>
      <c r="D58">
        <v>63.6</v>
      </c>
      <c r="E58">
        <f>Constantes!$B$6</f>
        <v>0.1</v>
      </c>
      <c r="F58">
        <f t="shared" si="0"/>
        <v>0.01</v>
      </c>
      <c r="G58">
        <f t="shared" si="1"/>
        <v>1.0290697674418605</v>
      </c>
      <c r="H58">
        <f t="shared" si="5"/>
        <v>1255.2000000000178</v>
      </c>
      <c r="I58">
        <f t="shared" si="2"/>
        <v>106848</v>
      </c>
      <c r="J58">
        <f t="shared" si="3"/>
        <v>16.8</v>
      </c>
      <c r="K58">
        <f t="shared" si="6"/>
        <v>1.1747529200359555E-2</v>
      </c>
      <c r="L58">
        <f t="shared" si="4"/>
        <v>2.2723586835565792E-6</v>
      </c>
    </row>
    <row r="59" spans="1:12" x14ac:dyDescent="0.3">
      <c r="A59">
        <f t="shared" si="7"/>
        <v>1710</v>
      </c>
      <c r="B59">
        <v>1.5</v>
      </c>
      <c r="C59">
        <v>53.3</v>
      </c>
      <c r="D59">
        <v>93.84</v>
      </c>
      <c r="E59">
        <f>Constantes!$B$6</f>
        <v>0.1</v>
      </c>
      <c r="F59">
        <f t="shared" si="0"/>
        <v>0.01</v>
      </c>
      <c r="G59">
        <f t="shared" si="1"/>
        <v>1.028957528957529</v>
      </c>
      <c r="H59">
        <f t="shared" si="5"/>
        <v>836.79999999998222</v>
      </c>
      <c r="I59">
        <f t="shared" si="2"/>
        <v>160466.4</v>
      </c>
      <c r="J59">
        <f t="shared" si="3"/>
        <v>17.100000000000001</v>
      </c>
      <c r="K59">
        <f t="shared" si="6"/>
        <v>5.2147988613191441E-3</v>
      </c>
      <c r="L59">
        <f t="shared" si="4"/>
        <v>1.0418880343240055E-6</v>
      </c>
    </row>
    <row r="60" spans="1:12" x14ac:dyDescent="0.3">
      <c r="A60">
        <f t="shared" si="7"/>
        <v>1740</v>
      </c>
      <c r="B60">
        <v>1.4</v>
      </c>
      <c r="C60">
        <v>53.6</v>
      </c>
      <c r="D60">
        <v>65.52</v>
      </c>
      <c r="E60">
        <f>Constantes!$B$6</f>
        <v>0.1</v>
      </c>
      <c r="F60">
        <f t="shared" si="0"/>
        <v>0.01</v>
      </c>
      <c r="G60">
        <f t="shared" si="1"/>
        <v>1.0268199233716475</v>
      </c>
      <c r="H60">
        <f t="shared" si="5"/>
        <v>1255.2000000000178</v>
      </c>
      <c r="I60">
        <f t="shared" si="2"/>
        <v>114004.79999999999</v>
      </c>
      <c r="J60">
        <f t="shared" si="3"/>
        <v>17.400000000000002</v>
      </c>
      <c r="K60">
        <f t="shared" si="6"/>
        <v>1.1010062734200823E-2</v>
      </c>
      <c r="L60">
        <f t="shared" si="4"/>
        <v>2.0886817991961789E-6</v>
      </c>
    </row>
    <row r="61" spans="1:12" x14ac:dyDescent="0.3">
      <c r="A61">
        <f t="shared" si="7"/>
        <v>1770</v>
      </c>
      <c r="B61">
        <v>1.4</v>
      </c>
      <c r="C61">
        <v>53.5</v>
      </c>
      <c r="D61">
        <v>77.47</v>
      </c>
      <c r="E61">
        <f>Constantes!$B$6</f>
        <v>0.1</v>
      </c>
      <c r="F61">
        <f t="shared" si="0"/>
        <v>0.01</v>
      </c>
      <c r="G61">
        <f t="shared" si="1"/>
        <v>1.0268714011516316</v>
      </c>
      <c r="H61">
        <f t="shared" si="5"/>
        <v>-418.40000000000595</v>
      </c>
      <c r="I61">
        <f t="shared" si="2"/>
        <v>137121.9</v>
      </c>
      <c r="J61">
        <f t="shared" si="3"/>
        <v>17.7</v>
      </c>
      <c r="K61">
        <f t="shared" si="6"/>
        <v>3.0512996100550385E-3</v>
      </c>
      <c r="L61">
        <f t="shared" si="4"/>
        <v>1.1040043260095505E-6</v>
      </c>
    </row>
    <row r="62" spans="1:12" x14ac:dyDescent="0.3">
      <c r="A62">
        <f t="shared" si="7"/>
        <v>1800</v>
      </c>
      <c r="B62" s="2">
        <v>1.3</v>
      </c>
      <c r="C62">
        <v>54</v>
      </c>
      <c r="D62">
        <v>79.36</v>
      </c>
      <c r="E62">
        <f>Constantes!$B$6</f>
        <v>0.1</v>
      </c>
      <c r="F62">
        <f t="shared" si="0"/>
        <v>0.01</v>
      </c>
      <c r="G62">
        <f t="shared" si="1"/>
        <v>1.0246679316888045</v>
      </c>
      <c r="H62">
        <f t="shared" si="5"/>
        <v>2092</v>
      </c>
      <c r="I62">
        <f t="shared" si="2"/>
        <v>142848</v>
      </c>
      <c r="J62">
        <f t="shared" si="3"/>
        <v>18</v>
      </c>
      <c r="K62">
        <f t="shared" si="6"/>
        <v>1.4644937275985663E-2</v>
      </c>
      <c r="L62">
        <f t="shared" si="4"/>
        <v>2.0941713250546665E-6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workbookViewId="0">
      <selection activeCell="B2" sqref="B2"/>
    </sheetView>
  </sheetViews>
  <sheetFormatPr defaultRowHeight="14.4" x14ac:dyDescent="0.3"/>
  <sheetData>
    <row r="1" spans="1:11" x14ac:dyDescent="0.3">
      <c r="A1" s="1" t="s">
        <v>34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</row>
    <row r="2" spans="1:11" x14ac:dyDescent="0.3">
      <c r="A2">
        <v>0</v>
      </c>
    </row>
    <row r="3" spans="1:11" x14ac:dyDescent="0.3">
      <c r="A3">
        <v>30</v>
      </c>
    </row>
    <row r="4" spans="1:11" x14ac:dyDescent="0.3">
      <c r="A4">
        <v>60</v>
      </c>
    </row>
    <row r="5" spans="1:11" x14ac:dyDescent="0.3">
      <c r="A5">
        <v>90</v>
      </c>
    </row>
    <row r="6" spans="1:11" x14ac:dyDescent="0.3">
      <c r="A6">
        <v>120</v>
      </c>
    </row>
    <row r="7" spans="1:11" x14ac:dyDescent="0.3">
      <c r="A7">
        <v>150</v>
      </c>
    </row>
    <row r="8" spans="1:11" x14ac:dyDescent="0.3">
      <c r="A8">
        <v>180</v>
      </c>
    </row>
    <row r="9" spans="1:11" x14ac:dyDescent="0.3">
      <c r="A9">
        <v>210</v>
      </c>
    </row>
    <row r="10" spans="1:11" x14ac:dyDescent="0.3">
      <c r="A10">
        <v>240</v>
      </c>
    </row>
    <row r="11" spans="1:11" x14ac:dyDescent="0.3">
      <c r="A11">
        <v>270</v>
      </c>
    </row>
    <row r="12" spans="1:11" x14ac:dyDescent="0.3">
      <c r="A12">
        <v>300</v>
      </c>
    </row>
    <row r="13" spans="1:11" x14ac:dyDescent="0.3">
      <c r="A13">
        <v>330</v>
      </c>
    </row>
    <row r="14" spans="1:11" x14ac:dyDescent="0.3">
      <c r="A14">
        <v>360</v>
      </c>
    </row>
    <row r="15" spans="1:11" x14ac:dyDescent="0.3">
      <c r="A15">
        <v>390</v>
      </c>
    </row>
    <row r="16" spans="1:11" x14ac:dyDescent="0.3">
      <c r="A16">
        <v>420</v>
      </c>
    </row>
    <row r="17" spans="1:1" x14ac:dyDescent="0.3">
      <c r="A17">
        <v>450</v>
      </c>
    </row>
    <row r="18" spans="1:1" x14ac:dyDescent="0.3">
      <c r="A18">
        <v>480</v>
      </c>
    </row>
    <row r="19" spans="1:1" x14ac:dyDescent="0.3">
      <c r="A19">
        <v>510</v>
      </c>
    </row>
    <row r="20" spans="1:1" x14ac:dyDescent="0.3">
      <c r="A20">
        <v>540</v>
      </c>
    </row>
    <row r="21" spans="1:1" x14ac:dyDescent="0.3">
      <c r="A21">
        <v>570</v>
      </c>
    </row>
    <row r="22" spans="1:1" x14ac:dyDescent="0.3">
      <c r="A22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</row>
    <row r="2" spans="1:7" x14ac:dyDescent="0.3">
      <c r="A2" t="s">
        <v>39</v>
      </c>
      <c r="B2" t="s">
        <v>43</v>
      </c>
    </row>
    <row r="3" spans="1:7" x14ac:dyDescent="0.3">
      <c r="A3" t="s">
        <v>54</v>
      </c>
      <c r="B3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Constantes</vt:lpstr>
      <vt:lpstr>Medidas</vt:lpstr>
      <vt:lpstr>Calculos</vt:lpstr>
      <vt:lpstr>Ajustes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V</cp:lastModifiedBy>
  <dcterms:created xsi:type="dcterms:W3CDTF">2026-03-25T13:41:14Z</dcterms:created>
  <dcterms:modified xsi:type="dcterms:W3CDTF">2026-04-02T12:40:25Z</dcterms:modified>
</cp:coreProperties>
</file>